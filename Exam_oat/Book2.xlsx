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Exam_oat\"/>
    </mc:Choice>
  </mc:AlternateContent>
  <xr:revisionPtr revIDLastSave="0" documentId="13_ncr:1_{09A3FAEC-8D65-4324-9C5C-2416F35F64AD}" xr6:coauthVersionLast="47" xr6:coauthVersionMax="47" xr10:uidLastSave="{00000000-0000-0000-0000-000000000000}"/>
  <bookViews>
    <workbookView xWindow="-108" yWindow="-108" windowWidth="23256" windowHeight="12456" activeTab="2" xr2:uid="{5A1DF8E8-C816-4018-AAC7-2761D5759C98}"/>
  </bookViews>
  <sheets>
    <sheet name="Sheet1" sheetId="1" r:id="rId1"/>
    <sheet name="Sheet5" sheetId="5" r:id="rId2"/>
    <sheet name="Sheet2" sheetId="2" r:id="rId3"/>
    <sheet name="Sheet7" sheetId="9" r:id="rId4"/>
    <sheet name="Sheet6" sheetId="8" r:id="rId5"/>
  </sheets>
  <definedNames>
    <definedName name="Slicer_PRICE">#N/A</definedName>
    <definedName name="Slicer_REGION">#N/A</definedName>
  </definedNames>
  <calcPr calcId="191029"/>
  <pivotCaches>
    <pivotCache cacheId="52" r:id="rId6"/>
    <pivotCache cacheId="5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2" l="1"/>
  <c r="D26" i="2"/>
  <c r="E25" i="2"/>
  <c r="D25" i="2"/>
  <c r="E24" i="2"/>
  <c r="D24" i="2"/>
  <c r="E23" i="2"/>
  <c r="D23" i="2"/>
  <c r="E22" i="2"/>
  <c r="D22" i="2"/>
  <c r="E21" i="2"/>
  <c r="D21" i="2"/>
  <c r="E20" i="2"/>
  <c r="D20" i="2"/>
  <c r="E19" i="2"/>
  <c r="D19" i="2"/>
  <c r="E18" i="2"/>
  <c r="D18" i="2"/>
  <c r="E17" i="2"/>
  <c r="D17" i="2"/>
  <c r="I2" i="1" l="1"/>
  <c r="P3" i="1"/>
  <c r="P4" i="1"/>
  <c r="P5" i="1"/>
  <c r="P6" i="1"/>
  <c r="P2" i="1"/>
  <c r="S6" i="1"/>
  <c r="S2" i="1"/>
  <c r="R5" i="1"/>
  <c r="R6" i="1"/>
  <c r="Q3" i="1"/>
  <c r="S3" i="1" s="1"/>
  <c r="Q4" i="1"/>
  <c r="R4" i="1" s="1"/>
  <c r="Q5" i="1"/>
  <c r="S5" i="1" s="1"/>
  <c r="Q6" i="1"/>
  <c r="Q2" i="1"/>
  <c r="R2" i="1" s="1"/>
  <c r="O3" i="1"/>
  <c r="O4" i="1"/>
  <c r="O5" i="1"/>
  <c r="O6" i="1"/>
  <c r="O2" i="1"/>
  <c r="N3" i="1"/>
  <c r="N4" i="1"/>
  <c r="N5" i="1"/>
  <c r="N6" i="1"/>
  <c r="N2" i="1"/>
  <c r="M3" i="1"/>
  <c r="M4" i="1"/>
  <c r="M5" i="1"/>
  <c r="M6" i="1"/>
  <c r="M2" i="1"/>
  <c r="L3" i="1"/>
  <c r="L4" i="1"/>
  <c r="L5" i="1"/>
  <c r="L6" i="1"/>
  <c r="L2" i="1"/>
  <c r="S4" i="1" l="1"/>
  <c r="R3" i="1"/>
  <c r="J3" i="1"/>
  <c r="K3" i="1" s="1"/>
  <c r="J4" i="1"/>
  <c r="K4" i="1" s="1"/>
  <c r="J5" i="1"/>
  <c r="K5" i="1" s="1"/>
  <c r="J6" i="1"/>
  <c r="K6" i="1" s="1"/>
  <c r="J2" i="1"/>
  <c r="K2" i="1" s="1"/>
  <c r="I3" i="1"/>
  <c r="I4" i="1"/>
  <c r="I5" i="1"/>
  <c r="I6"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<sst xmlns="http://schemas.openxmlformats.org/spreadsheetml/2006/main" count="231" uniqueCount="83">
  <si>
    <t>ROLL NO.</t>
  </si>
  <si>
    <t>VRAJ</t>
  </si>
  <si>
    <t>HARSHIL</t>
  </si>
  <si>
    <t>SHYAM</t>
  </si>
  <si>
    <t>OM</t>
  </si>
  <si>
    <t>KISHAN</t>
  </si>
  <si>
    <t>CP-II</t>
  </si>
  <si>
    <t>WD-II</t>
  </si>
  <si>
    <t>OS</t>
  </si>
  <si>
    <t>DBMS-I</t>
  </si>
  <si>
    <t>OAT</t>
  </si>
  <si>
    <t>AGE</t>
  </si>
  <si>
    <t>FIRST NAME</t>
  </si>
  <si>
    <t>LAST NAME</t>
  </si>
  <si>
    <t>PATEL</t>
  </si>
  <si>
    <t>SUM</t>
  </si>
  <si>
    <t>PER</t>
  </si>
  <si>
    <t>GRADE</t>
  </si>
  <si>
    <t>MAX</t>
  </si>
  <si>
    <t>MIN</t>
  </si>
  <si>
    <t>uppercase</t>
  </si>
  <si>
    <t>lowercase</t>
  </si>
  <si>
    <t>COUNTIF</t>
  </si>
  <si>
    <t>CONCATENATE</t>
  </si>
  <si>
    <t>TRIM</t>
  </si>
  <si>
    <t>PROPER</t>
  </si>
  <si>
    <t>student</t>
  </si>
  <si>
    <t>SR</t>
  </si>
  <si>
    <t>ROLLNO.</t>
  </si>
  <si>
    <t xml:space="preserve">STUDENT </t>
  </si>
  <si>
    <t>TOTAL PRASANT</t>
  </si>
  <si>
    <t>TOTAL ABSENT</t>
  </si>
  <si>
    <t>om</t>
  </si>
  <si>
    <t>P</t>
  </si>
  <si>
    <t>A</t>
  </si>
  <si>
    <t>riya</t>
  </si>
  <si>
    <t>vraj</t>
  </si>
  <si>
    <t>priya</t>
  </si>
  <si>
    <t>dev</t>
  </si>
  <si>
    <t>sneha</t>
  </si>
  <si>
    <t>mehul</t>
  </si>
  <si>
    <t>tirth</t>
  </si>
  <si>
    <t>raj</t>
  </si>
  <si>
    <t>dhruv</t>
  </si>
  <si>
    <t>BCA</t>
  </si>
  <si>
    <t>Row Labels</t>
  </si>
  <si>
    <t>Grand Total</t>
  </si>
  <si>
    <t>Sum of CP-II</t>
  </si>
  <si>
    <t>Sum of WD-II</t>
  </si>
  <si>
    <t>Sum of OS</t>
  </si>
  <si>
    <t>Sum of DBMS-I</t>
  </si>
  <si>
    <t>Sum of OAT</t>
  </si>
  <si>
    <t>LOOKUP VALUE</t>
  </si>
  <si>
    <t>INDEX</t>
  </si>
  <si>
    <t>Column Labels</t>
  </si>
  <si>
    <t>ID</t>
  </si>
  <si>
    <t xml:space="preserve">CUSTOMER </t>
  </si>
  <si>
    <t>DEPT</t>
  </si>
  <si>
    <t>PRODUCT</t>
  </si>
  <si>
    <t xml:space="preserve">REGION </t>
  </si>
  <si>
    <t>PRICE</t>
  </si>
  <si>
    <t>QUANTITY</t>
  </si>
  <si>
    <t>TOTAL</t>
  </si>
  <si>
    <t>CE</t>
  </si>
  <si>
    <t>laptop</t>
  </si>
  <si>
    <t>North</t>
  </si>
  <si>
    <t>Harshil</t>
  </si>
  <si>
    <t>moues</t>
  </si>
  <si>
    <t>South</t>
  </si>
  <si>
    <t>Shyam</t>
  </si>
  <si>
    <t>keyboard</t>
  </si>
  <si>
    <t>West</t>
  </si>
  <si>
    <t>mobile</t>
  </si>
  <si>
    <t>CSE</t>
  </si>
  <si>
    <t>headphones</t>
  </si>
  <si>
    <t>Savan</t>
  </si>
  <si>
    <t>tablet</t>
  </si>
  <si>
    <t>jay</t>
  </si>
  <si>
    <t>charger</t>
  </si>
  <si>
    <t>East</t>
  </si>
  <si>
    <t>IT</t>
  </si>
  <si>
    <t>Kishan</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</si>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</sst>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rial Black"/>
      <family val="2"/>
    </font>
    <font>
      <sz val="11"/>
      <color rgb="FF000000"/>
      <name val="Arial Black"/>
      <family val="2"/>
    </font>
    <font>
      <b/>
      <sz val="12"/>
      <color theme="1"/>
      <name val="Aptos Narrow"/>
      <family val="2"/>
      <scheme val="minor"/>
    </font>
    <font>
      <b/>
      <sz val="12"/>
      <color rgb="FF000000"/>
      <name val="Aptos Narrow"/>
      <family val="2"/>
      <scheme val="minor"/>
    </font>
    <font>
      <b/>
      <sz val="12"/>
      <color theme="1"/>
      <name val="Arial Black"/>
      <family val="2"/>
    </font>
    <font>
      <b/>
      <sz val="14"/>
      <color theme="1"/>
      <name val="Aptos Narrow"/>
      <family val="2"/>
      <scheme val="minor"/>
    </font>
    <font>
      <b/>
      <sz val="14"/>
      <color rgb="FF000000"/>
      <name val="Aptos Narrow"/>
      <family val="2"/>
      <scheme val="minor"/>
    </font>
    <font>
      <sz val="11"/>
      <color rgb="FF000000"/>
      <name val="Aptos Narrow"/>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0" applyFont="1" applyAlignment="1">
      <alignment horizontal="center" vertical="center"/>
    </xf>
    <xf numFmtId="0" fontId="6" fillId="0" borderId="0" xfId="0" applyFont="1"/>
    <xf numFmtId="0" fontId="0" fillId="0" borderId="0" xfId="0" applyAlignment="1">
      <alignment horizontal="left"/>
    </xf>
    <xf numFmtId="0" fontId="0" fillId="0" borderId="0" xfId="0" pivotButton="1"/>
    <xf numFmtId="0" fontId="0" fillId="0" borderId="0" xfId="0" applyAlignment="1">
      <alignment horizontal="left" indent="1"/>
    </xf>
    <xf numFmtId="0" fontId="7" fillId="0" borderId="0" xfId="0" applyFont="1"/>
    <xf numFmtId="0" fontId="8" fillId="0" borderId="0" xfId="0" applyFont="1" applyAlignment="1">
      <alignment horizontal="center"/>
    </xf>
    <xf numFmtId="0" fontId="8" fillId="0" borderId="0" xfId="0" applyFont="1"/>
    <xf numFmtId="0" fontId="8" fillId="0" borderId="0" xfId="0" applyFont="1" applyAlignment="1">
      <alignment vertical="center" wrapText="1"/>
    </xf>
    <xf numFmtId="0" fontId="0" fillId="0" borderId="0" xfId="0" applyAlignment="1">
      <alignment horizontal="center"/>
    </xf>
    <xf numFmtId="0" fontId="5"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xf>
    <xf numFmtId="0" fontId="0" fillId="0" borderId="1" xfId="0" applyBorder="1"/>
    <xf numFmtId="0" fontId="0" fillId="0" borderId="0" xfId="0" applyNumberFormat="1"/>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WD-II</c:v>
                </c:pt>
              </c:strCache>
            </c:strRef>
          </c:tx>
          <c:spPr>
            <a:solidFill>
              <a:schemeClr val="accent1"/>
            </a:solidFill>
            <a:ln>
              <a:noFill/>
            </a:ln>
            <a:effectLst/>
          </c:spPr>
          <c:invertIfNegative val="0"/>
          <c:cat>
            <c:multiLvlStrRef>
              <c:f>Sheet5!$A$4:$A$14</c:f>
              <c:multiLvlStrCache>
                <c:ptCount val="5"/>
                <c:lvl>
                  <c:pt idx="0">
                    <c:v>2</c:v>
                  </c:pt>
                  <c:pt idx="1">
                    <c:v>5</c:v>
                  </c:pt>
                  <c:pt idx="2">
                    <c:v>4</c:v>
                  </c:pt>
                  <c:pt idx="3">
                    <c:v>3</c:v>
                  </c:pt>
                  <c:pt idx="4">
                    <c:v>1</c:v>
                  </c:pt>
                </c:lvl>
                <c:lvl>
                  <c:pt idx="0">
                    <c:v>HARSHIL</c:v>
                  </c:pt>
                  <c:pt idx="1">
                    <c:v>KISHAN</c:v>
                  </c:pt>
                  <c:pt idx="2">
                    <c:v>OM</c:v>
                  </c:pt>
                  <c:pt idx="3">
                    <c:v>SHYAM</c:v>
                  </c:pt>
                  <c:pt idx="4">
                    <c:v>VRAJ</c:v>
                  </c:pt>
                </c:lvl>
              </c:multiLvlStrCache>
            </c:multiLvlStrRef>
          </c:cat>
          <c:val>
            <c:numRef>
              <c:f>Sheet5!$B$4:$B$14</c:f>
              <c:numCache>
                <c:formatCode>General</c:formatCode>
                <c:ptCount val="5"/>
                <c:pt idx="0">
                  <c:v>90</c:v>
                </c:pt>
                <c:pt idx="1">
                  <c:v>70</c:v>
                </c:pt>
                <c:pt idx="2">
                  <c:v>70</c:v>
                </c:pt>
                <c:pt idx="3">
                  <c:v>85</c:v>
                </c:pt>
                <c:pt idx="4">
                  <c:v>90</c:v>
                </c:pt>
              </c:numCache>
            </c:numRef>
          </c:val>
          <c:extLst>
            <c:ext xmlns:c16="http://schemas.microsoft.com/office/drawing/2014/chart" uri="{C3380CC4-5D6E-409C-BE32-E72D297353CC}">
              <c16:uniqueId val="{00000000-1F9D-47D0-9615-804E38FEF64E}"/>
            </c:ext>
          </c:extLst>
        </c:ser>
        <c:ser>
          <c:idx val="1"/>
          <c:order val="1"/>
          <c:tx>
            <c:strRef>
              <c:f>Sheet5!$C$3</c:f>
              <c:strCache>
                <c:ptCount val="1"/>
                <c:pt idx="0">
                  <c:v>Sum of DBMS-I</c:v>
                </c:pt>
              </c:strCache>
            </c:strRef>
          </c:tx>
          <c:spPr>
            <a:solidFill>
              <a:schemeClr val="accent2"/>
            </a:solidFill>
            <a:ln>
              <a:noFill/>
            </a:ln>
            <a:effectLst/>
          </c:spPr>
          <c:invertIfNegative val="0"/>
          <c:cat>
            <c:multiLvlStrRef>
              <c:f>Sheet5!$A$4:$A$14</c:f>
              <c:multiLvlStrCache>
                <c:ptCount val="5"/>
                <c:lvl>
                  <c:pt idx="0">
                    <c:v>2</c:v>
                  </c:pt>
                  <c:pt idx="1">
                    <c:v>5</c:v>
                  </c:pt>
                  <c:pt idx="2">
                    <c:v>4</c:v>
                  </c:pt>
                  <c:pt idx="3">
                    <c:v>3</c:v>
                  </c:pt>
                  <c:pt idx="4">
                    <c:v>1</c:v>
                  </c:pt>
                </c:lvl>
                <c:lvl>
                  <c:pt idx="0">
                    <c:v>HARSHIL</c:v>
                  </c:pt>
                  <c:pt idx="1">
                    <c:v>KISHAN</c:v>
                  </c:pt>
                  <c:pt idx="2">
                    <c:v>OM</c:v>
                  </c:pt>
                  <c:pt idx="3">
                    <c:v>SHYAM</c:v>
                  </c:pt>
                  <c:pt idx="4">
                    <c:v>VRAJ</c:v>
                  </c:pt>
                </c:lvl>
              </c:multiLvlStrCache>
            </c:multiLvlStrRef>
          </c:cat>
          <c:val>
            <c:numRef>
              <c:f>Sheet5!$C$4:$C$14</c:f>
              <c:numCache>
                <c:formatCode>General</c:formatCode>
                <c:ptCount val="5"/>
                <c:pt idx="0">
                  <c:v>90</c:v>
                </c:pt>
                <c:pt idx="1">
                  <c:v>54</c:v>
                </c:pt>
                <c:pt idx="2">
                  <c:v>74</c:v>
                </c:pt>
                <c:pt idx="3">
                  <c:v>70</c:v>
                </c:pt>
                <c:pt idx="4">
                  <c:v>85</c:v>
                </c:pt>
              </c:numCache>
            </c:numRef>
          </c:val>
          <c:extLst>
            <c:ext xmlns:c16="http://schemas.microsoft.com/office/drawing/2014/chart" uri="{C3380CC4-5D6E-409C-BE32-E72D297353CC}">
              <c16:uniqueId val="{00000002-1F9D-47D0-9615-804E38FEF64E}"/>
            </c:ext>
          </c:extLst>
        </c:ser>
        <c:ser>
          <c:idx val="2"/>
          <c:order val="2"/>
          <c:tx>
            <c:strRef>
              <c:f>Sheet5!$D$3</c:f>
              <c:strCache>
                <c:ptCount val="1"/>
                <c:pt idx="0">
                  <c:v>Sum of CP-II</c:v>
                </c:pt>
              </c:strCache>
            </c:strRef>
          </c:tx>
          <c:spPr>
            <a:solidFill>
              <a:schemeClr val="accent3"/>
            </a:solidFill>
            <a:ln>
              <a:noFill/>
            </a:ln>
            <a:effectLst/>
          </c:spPr>
          <c:invertIfNegative val="0"/>
          <c:cat>
            <c:multiLvlStrRef>
              <c:f>Sheet5!$A$4:$A$14</c:f>
              <c:multiLvlStrCache>
                <c:ptCount val="5"/>
                <c:lvl>
                  <c:pt idx="0">
                    <c:v>2</c:v>
                  </c:pt>
                  <c:pt idx="1">
                    <c:v>5</c:v>
                  </c:pt>
                  <c:pt idx="2">
                    <c:v>4</c:v>
                  </c:pt>
                  <c:pt idx="3">
                    <c:v>3</c:v>
                  </c:pt>
                  <c:pt idx="4">
                    <c:v>1</c:v>
                  </c:pt>
                </c:lvl>
                <c:lvl>
                  <c:pt idx="0">
                    <c:v>HARSHIL</c:v>
                  </c:pt>
                  <c:pt idx="1">
                    <c:v>KISHAN</c:v>
                  </c:pt>
                  <c:pt idx="2">
                    <c:v>OM</c:v>
                  </c:pt>
                  <c:pt idx="3">
                    <c:v>SHYAM</c:v>
                  </c:pt>
                  <c:pt idx="4">
                    <c:v>VRAJ</c:v>
                  </c:pt>
                </c:lvl>
              </c:multiLvlStrCache>
            </c:multiLvlStrRef>
          </c:cat>
          <c:val>
            <c:numRef>
              <c:f>Sheet5!$D$4:$D$14</c:f>
              <c:numCache>
                <c:formatCode>General</c:formatCode>
                <c:ptCount val="5"/>
                <c:pt idx="0">
                  <c:v>85</c:v>
                </c:pt>
                <c:pt idx="1">
                  <c:v>50</c:v>
                </c:pt>
                <c:pt idx="2">
                  <c:v>80</c:v>
                </c:pt>
                <c:pt idx="3">
                  <c:v>85</c:v>
                </c:pt>
                <c:pt idx="4">
                  <c:v>70</c:v>
                </c:pt>
              </c:numCache>
            </c:numRef>
          </c:val>
          <c:extLst>
            <c:ext xmlns:c16="http://schemas.microsoft.com/office/drawing/2014/chart" uri="{C3380CC4-5D6E-409C-BE32-E72D297353CC}">
              <c16:uniqueId val="{00000003-1F9D-47D0-9615-804E38FEF64E}"/>
            </c:ext>
          </c:extLst>
        </c:ser>
        <c:ser>
          <c:idx val="3"/>
          <c:order val="3"/>
          <c:tx>
            <c:strRef>
              <c:f>Sheet5!$E$3</c:f>
              <c:strCache>
                <c:ptCount val="1"/>
                <c:pt idx="0">
                  <c:v>Sum of OAT</c:v>
                </c:pt>
              </c:strCache>
            </c:strRef>
          </c:tx>
          <c:spPr>
            <a:solidFill>
              <a:schemeClr val="accent4"/>
            </a:solidFill>
            <a:ln>
              <a:noFill/>
            </a:ln>
            <a:effectLst/>
          </c:spPr>
          <c:invertIfNegative val="0"/>
          <c:cat>
            <c:multiLvlStrRef>
              <c:f>Sheet5!$A$4:$A$14</c:f>
              <c:multiLvlStrCache>
                <c:ptCount val="5"/>
                <c:lvl>
                  <c:pt idx="0">
                    <c:v>2</c:v>
                  </c:pt>
                  <c:pt idx="1">
                    <c:v>5</c:v>
                  </c:pt>
                  <c:pt idx="2">
                    <c:v>4</c:v>
                  </c:pt>
                  <c:pt idx="3">
                    <c:v>3</c:v>
                  </c:pt>
                  <c:pt idx="4">
                    <c:v>1</c:v>
                  </c:pt>
                </c:lvl>
                <c:lvl>
                  <c:pt idx="0">
                    <c:v>HARSHIL</c:v>
                  </c:pt>
                  <c:pt idx="1">
                    <c:v>KISHAN</c:v>
                  </c:pt>
                  <c:pt idx="2">
                    <c:v>OM</c:v>
                  </c:pt>
                  <c:pt idx="3">
                    <c:v>SHYAM</c:v>
                  </c:pt>
                  <c:pt idx="4">
                    <c:v>VRAJ</c:v>
                  </c:pt>
                </c:lvl>
              </c:multiLvlStrCache>
            </c:multiLvlStrRef>
          </c:cat>
          <c:val>
            <c:numRef>
              <c:f>Sheet5!$E$4:$E$14</c:f>
              <c:numCache>
                <c:formatCode>General</c:formatCode>
                <c:ptCount val="5"/>
                <c:pt idx="0">
                  <c:v>85</c:v>
                </c:pt>
                <c:pt idx="1">
                  <c:v>50</c:v>
                </c:pt>
                <c:pt idx="2">
                  <c:v>85</c:v>
                </c:pt>
                <c:pt idx="3">
                  <c:v>84</c:v>
                </c:pt>
                <c:pt idx="4">
                  <c:v>74</c:v>
                </c:pt>
              </c:numCache>
            </c:numRef>
          </c:val>
          <c:extLst>
            <c:ext xmlns:c16="http://schemas.microsoft.com/office/drawing/2014/chart" uri="{C3380CC4-5D6E-409C-BE32-E72D297353CC}">
              <c16:uniqueId val="{00000004-1F9D-47D0-9615-804E38FEF64E}"/>
            </c:ext>
          </c:extLst>
        </c:ser>
        <c:ser>
          <c:idx val="4"/>
          <c:order val="4"/>
          <c:tx>
            <c:strRef>
              <c:f>Sheet5!$F$3</c:f>
              <c:strCache>
                <c:ptCount val="1"/>
                <c:pt idx="0">
                  <c:v>Sum of OS</c:v>
                </c:pt>
              </c:strCache>
            </c:strRef>
          </c:tx>
          <c:spPr>
            <a:solidFill>
              <a:schemeClr val="accent5"/>
            </a:solidFill>
            <a:ln>
              <a:noFill/>
            </a:ln>
            <a:effectLst/>
          </c:spPr>
          <c:invertIfNegative val="0"/>
          <c:cat>
            <c:multiLvlStrRef>
              <c:f>Sheet5!$A$4:$A$14</c:f>
              <c:multiLvlStrCache>
                <c:ptCount val="5"/>
                <c:lvl>
                  <c:pt idx="0">
                    <c:v>2</c:v>
                  </c:pt>
                  <c:pt idx="1">
                    <c:v>5</c:v>
                  </c:pt>
                  <c:pt idx="2">
                    <c:v>4</c:v>
                  </c:pt>
                  <c:pt idx="3">
                    <c:v>3</c:v>
                  </c:pt>
                  <c:pt idx="4">
                    <c:v>1</c:v>
                  </c:pt>
                </c:lvl>
                <c:lvl>
                  <c:pt idx="0">
                    <c:v>HARSHIL</c:v>
                  </c:pt>
                  <c:pt idx="1">
                    <c:v>KISHAN</c:v>
                  </c:pt>
                  <c:pt idx="2">
                    <c:v>OM</c:v>
                  </c:pt>
                  <c:pt idx="3">
                    <c:v>SHYAM</c:v>
                  </c:pt>
                  <c:pt idx="4">
                    <c:v>VRAJ</c:v>
                  </c:pt>
                </c:lvl>
              </c:multiLvlStrCache>
            </c:multiLvlStrRef>
          </c:cat>
          <c:val>
            <c:numRef>
              <c:f>Sheet5!$F$4:$F$14</c:f>
              <c:numCache>
                <c:formatCode>General</c:formatCode>
                <c:ptCount val="5"/>
                <c:pt idx="0">
                  <c:v>87</c:v>
                </c:pt>
                <c:pt idx="1">
                  <c:v>45</c:v>
                </c:pt>
                <c:pt idx="2">
                  <c:v>60</c:v>
                </c:pt>
                <c:pt idx="3">
                  <c:v>60</c:v>
                </c:pt>
                <c:pt idx="4">
                  <c:v>80</c:v>
                </c:pt>
              </c:numCache>
            </c:numRef>
          </c:val>
          <c:extLst>
            <c:ext xmlns:c16="http://schemas.microsoft.com/office/drawing/2014/chart" uri="{C3380CC4-5D6E-409C-BE32-E72D297353CC}">
              <c16:uniqueId val="{00000005-1F9D-47D0-9615-804E38FEF64E}"/>
            </c:ext>
          </c:extLst>
        </c:ser>
        <c:dLbls>
          <c:showLegendKey val="0"/>
          <c:showVal val="0"/>
          <c:showCatName val="0"/>
          <c:showSerName val="0"/>
          <c:showPercent val="0"/>
          <c:showBubbleSize val="0"/>
        </c:dLbls>
        <c:gapWidth val="219"/>
        <c:overlap val="-27"/>
        <c:axId val="1391629935"/>
        <c:axId val="1391632335"/>
      </c:barChart>
      <c:catAx>
        <c:axId val="139162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32335"/>
        <c:crosses val="autoZero"/>
        <c:auto val="1"/>
        <c:lblAlgn val="ctr"/>
        <c:lblOffset val="100"/>
        <c:noMultiLvlLbl val="0"/>
      </c:catAx>
      <c:valAx>
        <c:axId val="139163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2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Sheet2!$A$2:$G$2</c:f>
              <c:numCache>
                <c:formatCode>General</c:formatCode>
                <c:ptCount val="7"/>
                <c:pt idx="0">
                  <c:v>1</c:v>
                </c:pt>
                <c:pt idx="1">
                  <c:v>0</c:v>
                </c:pt>
                <c:pt idx="2">
                  <c:v>70</c:v>
                </c:pt>
                <c:pt idx="3">
                  <c:v>90</c:v>
                </c:pt>
                <c:pt idx="4">
                  <c:v>80</c:v>
                </c:pt>
                <c:pt idx="5">
                  <c:v>85</c:v>
                </c:pt>
                <c:pt idx="6">
                  <c:v>74</c:v>
                </c:pt>
              </c:numCache>
            </c:numRef>
          </c:val>
          <c:smooth val="0"/>
          <c:extLst>
            <c:ext xmlns:c16="http://schemas.microsoft.com/office/drawing/2014/chart" uri="{C3380CC4-5D6E-409C-BE32-E72D297353CC}">
              <c16:uniqueId val="{00000000-89DE-4FC7-AC37-BB1C4B9521DF}"/>
            </c:ext>
          </c:extLst>
        </c:ser>
        <c:ser>
          <c:idx val="1"/>
          <c:order val="1"/>
          <c:spPr>
            <a:ln w="28575" cap="rnd">
              <a:solidFill>
                <a:schemeClr val="accent2"/>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Sheet2!$A$3:$G$3</c:f>
              <c:numCache>
                <c:formatCode>General</c:formatCode>
                <c:ptCount val="7"/>
                <c:pt idx="0">
                  <c:v>2</c:v>
                </c:pt>
                <c:pt idx="1">
                  <c:v>0</c:v>
                </c:pt>
                <c:pt idx="2">
                  <c:v>85</c:v>
                </c:pt>
                <c:pt idx="3">
                  <c:v>90</c:v>
                </c:pt>
                <c:pt idx="4">
                  <c:v>87</c:v>
                </c:pt>
                <c:pt idx="5">
                  <c:v>90</c:v>
                </c:pt>
                <c:pt idx="6">
                  <c:v>85</c:v>
                </c:pt>
              </c:numCache>
            </c:numRef>
          </c:val>
          <c:smooth val="0"/>
          <c:extLst>
            <c:ext xmlns:c16="http://schemas.microsoft.com/office/drawing/2014/chart" uri="{C3380CC4-5D6E-409C-BE32-E72D297353CC}">
              <c16:uniqueId val="{00000001-89DE-4FC7-AC37-BB1C4B9521DF}"/>
            </c:ext>
          </c:extLst>
        </c:ser>
        <c:ser>
          <c:idx val="2"/>
          <c:order val="2"/>
          <c:spPr>
            <a:ln w="28575" cap="rnd">
              <a:solidFill>
                <a:schemeClr val="accent3"/>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Sheet2!$A$4:$G$4</c:f>
              <c:numCache>
                <c:formatCode>General</c:formatCode>
                <c:ptCount val="7"/>
                <c:pt idx="0">
                  <c:v>3</c:v>
                </c:pt>
                <c:pt idx="1">
                  <c:v>0</c:v>
                </c:pt>
                <c:pt idx="2">
                  <c:v>85</c:v>
                </c:pt>
                <c:pt idx="3">
                  <c:v>85</c:v>
                </c:pt>
                <c:pt idx="4">
                  <c:v>60</c:v>
                </c:pt>
                <c:pt idx="5">
                  <c:v>70</c:v>
                </c:pt>
                <c:pt idx="6">
                  <c:v>84</c:v>
                </c:pt>
              </c:numCache>
            </c:numRef>
          </c:val>
          <c:smooth val="0"/>
          <c:extLst>
            <c:ext xmlns:c16="http://schemas.microsoft.com/office/drawing/2014/chart" uri="{C3380CC4-5D6E-409C-BE32-E72D297353CC}">
              <c16:uniqueId val="{00000002-89DE-4FC7-AC37-BB1C4B9521DF}"/>
            </c:ext>
          </c:extLst>
        </c:ser>
        <c:ser>
          <c:idx val="3"/>
          <c:order val="3"/>
          <c:spPr>
            <a:ln w="28575" cap="rnd">
              <a:solidFill>
                <a:schemeClr val="accent4"/>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Sheet2!$A$5:$G$5</c:f>
              <c:numCache>
                <c:formatCode>General</c:formatCode>
                <c:ptCount val="7"/>
                <c:pt idx="0">
                  <c:v>4</c:v>
                </c:pt>
                <c:pt idx="1">
                  <c:v>0</c:v>
                </c:pt>
                <c:pt idx="2">
                  <c:v>80</c:v>
                </c:pt>
                <c:pt idx="3">
                  <c:v>70</c:v>
                </c:pt>
                <c:pt idx="4">
                  <c:v>60</c:v>
                </c:pt>
                <c:pt idx="5">
                  <c:v>74</c:v>
                </c:pt>
                <c:pt idx="6">
                  <c:v>85</c:v>
                </c:pt>
              </c:numCache>
            </c:numRef>
          </c:val>
          <c:smooth val="0"/>
          <c:extLst>
            <c:ext xmlns:c16="http://schemas.microsoft.com/office/drawing/2014/chart" uri="{C3380CC4-5D6E-409C-BE32-E72D297353CC}">
              <c16:uniqueId val="{00000003-89DE-4FC7-AC37-BB1C4B9521DF}"/>
            </c:ext>
          </c:extLst>
        </c:ser>
        <c:ser>
          <c:idx val="4"/>
          <c:order val="4"/>
          <c:spPr>
            <a:ln w="28575" cap="rnd">
              <a:solidFill>
                <a:schemeClr val="accent5"/>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Sheet2!$A$6:$G$6</c:f>
              <c:numCache>
                <c:formatCode>General</c:formatCode>
                <c:ptCount val="7"/>
                <c:pt idx="0">
                  <c:v>5</c:v>
                </c:pt>
                <c:pt idx="1">
                  <c:v>0</c:v>
                </c:pt>
                <c:pt idx="2">
                  <c:v>50</c:v>
                </c:pt>
                <c:pt idx="3">
                  <c:v>70</c:v>
                </c:pt>
                <c:pt idx="4">
                  <c:v>45</c:v>
                </c:pt>
                <c:pt idx="5">
                  <c:v>54</c:v>
                </c:pt>
                <c:pt idx="6">
                  <c:v>50</c:v>
                </c:pt>
              </c:numCache>
            </c:numRef>
          </c:val>
          <c:smooth val="0"/>
          <c:extLst>
            <c:ext xmlns:c16="http://schemas.microsoft.com/office/drawing/2014/chart" uri="{C3380CC4-5D6E-409C-BE32-E72D297353CC}">
              <c16:uniqueId val="{00000004-89DE-4FC7-AC37-BB1C4B9521DF}"/>
            </c:ext>
          </c:extLst>
        </c:ser>
        <c:ser>
          <c:idx val="5"/>
          <c:order val="5"/>
          <c:spPr>
            <a:ln w="28575" cap="rnd">
              <a:solidFill>
                <a:schemeClr val="accent6"/>
              </a:solidFill>
              <a:round/>
            </a:ln>
            <a:effectLst/>
          </c:spPr>
          <c:marker>
            <c:symbol val="none"/>
          </c:marker>
          <c:cat>
            <c:strRef>
              <c:f>Sheet2!$A$1:$G$1</c:f>
              <c:strCache>
                <c:ptCount val="7"/>
                <c:pt idx="0">
                  <c:v>ROLL NO.</c:v>
                </c:pt>
                <c:pt idx="1">
                  <c:v>student</c:v>
                </c:pt>
                <c:pt idx="2">
                  <c:v>CP-II</c:v>
                </c:pt>
                <c:pt idx="3">
                  <c:v>WD-II</c:v>
                </c:pt>
                <c:pt idx="4">
                  <c:v>OS</c:v>
                </c:pt>
                <c:pt idx="5">
                  <c:v>DBMS-I</c:v>
                </c:pt>
                <c:pt idx="6">
                  <c:v>OAT</c:v>
                </c:pt>
              </c:strCache>
            </c:strRef>
          </c:cat>
          <c:val>
            <c:numRef>
              <c:f>Sheet2!$A$7:$G$7</c:f>
              <c:numCache>
                <c:formatCode>General</c:formatCode>
                <c:ptCount val="7"/>
              </c:numCache>
            </c:numRef>
          </c:val>
          <c:smooth val="0"/>
          <c:extLst>
            <c:ext xmlns:c16="http://schemas.microsoft.com/office/drawing/2014/chart" uri="{C3380CC4-5D6E-409C-BE32-E72D297353CC}">
              <c16:uniqueId val="{00000005-89DE-4FC7-AC37-BB1C4B9521DF}"/>
            </c:ext>
          </c:extLst>
        </c:ser>
        <c:dLbls>
          <c:showLegendKey val="0"/>
          <c:showVal val="0"/>
          <c:showCatName val="0"/>
          <c:showSerName val="0"/>
          <c:showPercent val="0"/>
          <c:showBubbleSize val="0"/>
        </c:dLbls>
        <c:smooth val="0"/>
        <c:axId val="1388635343"/>
        <c:axId val="1388635823"/>
      </c:lineChart>
      <c:catAx>
        <c:axId val="13886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35823"/>
        <c:crosses val="autoZero"/>
        <c:auto val="1"/>
        <c:lblAlgn val="ctr"/>
        <c:lblOffset val="100"/>
        <c:noMultiLvlLbl val="0"/>
      </c:catAx>
      <c:valAx>
        <c:axId val="13886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3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North</c:v>
                </c:pt>
              </c:strCache>
            </c:strRef>
          </c:tx>
          <c:spPr>
            <a:solidFill>
              <a:schemeClr val="accent1"/>
            </a:solidFill>
            <a:ln>
              <a:noFill/>
            </a:ln>
            <a:effectLst/>
          </c:spPr>
          <c:invertIfNegative val="0"/>
          <c:cat>
            <c:strRef>
              <c:f>Sheet7!$A$5</c:f>
              <c:strCache>
                <c:ptCount val="1"/>
                <c:pt idx="0">
                  <c:v>Total</c:v>
                </c:pt>
              </c:strCache>
            </c:strRef>
          </c:cat>
          <c:val>
            <c:numRef>
              <c:f>Sheet7!$B$5</c:f>
              <c:numCache>
                <c:formatCode>General</c:formatCode>
                <c:ptCount val="1"/>
                <c:pt idx="0">
                  <c:v>3000</c:v>
                </c:pt>
              </c:numCache>
            </c:numRef>
          </c:val>
          <c:extLst>
            <c:ext xmlns:c16="http://schemas.microsoft.com/office/drawing/2014/chart" uri="{C3380CC4-5D6E-409C-BE32-E72D297353CC}">
              <c16:uniqueId val="{00000002-3EC4-41C6-900B-9D430D50C64B}"/>
            </c:ext>
          </c:extLst>
        </c:ser>
        <c:dLbls>
          <c:showLegendKey val="0"/>
          <c:showVal val="0"/>
          <c:showCatName val="0"/>
          <c:showSerName val="0"/>
          <c:showPercent val="0"/>
          <c:showBubbleSize val="0"/>
        </c:dLbls>
        <c:gapWidth val="219"/>
        <c:overlap val="-27"/>
        <c:axId val="1541157055"/>
        <c:axId val="1541434543"/>
      </c:barChart>
      <c:catAx>
        <c:axId val="15411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34543"/>
        <c:crosses val="autoZero"/>
        <c:auto val="1"/>
        <c:lblAlgn val="ctr"/>
        <c:lblOffset val="100"/>
        <c:noMultiLvlLbl val="0"/>
      </c:catAx>
      <c:valAx>
        <c:axId val="154143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5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8</xdr:col>
      <xdr:colOff>7620</xdr:colOff>
      <xdr:row>1</xdr:row>
      <xdr:rowOff>137160</xdr:rowOff>
    </xdr:from>
    <xdr:to>
      <xdr:col>18</xdr:col>
      <xdr:colOff>495300</xdr:colOff>
      <xdr:row>21</xdr:row>
      <xdr:rowOff>106680</xdr:rowOff>
    </xdr:to>
    <xdr:graphicFrame macro="">
      <xdr:nvGraphicFramePr>
        <xdr:cNvPr id="2" name="Chart 1">
          <a:extLst>
            <a:ext uri="{FF2B5EF4-FFF2-40B4-BE49-F238E27FC236}">
              <a16:creationId xmlns:a16="http://schemas.microsoft.com/office/drawing/2014/main" id="{C24499D3-683D-DA92-2ED0-818CD3D4B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xdr:colOff>
      <xdr:row>0</xdr:row>
      <xdr:rowOff>0</xdr:rowOff>
    </xdr:from>
    <xdr:to>
      <xdr:col>17</xdr:col>
      <xdr:colOff>320040</xdr:colOff>
      <xdr:row>15</xdr:row>
      <xdr:rowOff>0</xdr:rowOff>
    </xdr:to>
    <xdr:graphicFrame macro="">
      <xdr:nvGraphicFramePr>
        <xdr:cNvPr id="3" name="Chart 2">
          <a:extLst>
            <a:ext uri="{FF2B5EF4-FFF2-40B4-BE49-F238E27FC236}">
              <a16:creationId xmlns:a16="http://schemas.microsoft.com/office/drawing/2014/main" id="{FF487D5F-247B-F0E5-6B93-297DCAB46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41910</xdr:rowOff>
    </xdr:from>
    <xdr:to>
      <xdr:col>7</xdr:col>
      <xdr:colOff>160020</xdr:colOff>
      <xdr:row>20</xdr:row>
      <xdr:rowOff>41910</xdr:rowOff>
    </xdr:to>
    <xdr:graphicFrame macro="">
      <xdr:nvGraphicFramePr>
        <xdr:cNvPr id="2" name="Chart 1">
          <a:extLst>
            <a:ext uri="{FF2B5EF4-FFF2-40B4-BE49-F238E27FC236}">
              <a16:creationId xmlns:a16="http://schemas.microsoft.com/office/drawing/2014/main" id="{BB480DAC-6705-0B36-3495-C80D142F2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38100</xdr:colOff>
      <xdr:row>14</xdr:row>
      <xdr:rowOff>99060</xdr:rowOff>
    </xdr:from>
    <xdr:to>
      <xdr:col>13</xdr:col>
      <xdr:colOff>38100</xdr:colOff>
      <xdr:row>28</xdr:row>
      <xdr:rowOff>120015</xdr:rowOff>
    </xdr:to>
    <mc:AlternateContent xmlns:mc="http://schemas.openxmlformats.org/markup-compatibility/2006" xmlns:a14="http://schemas.microsoft.com/office/drawing/2010/main">
      <mc:Choice Requires="a14">
        <xdr:graphicFrame macro="">
          <xdr:nvGraphicFramePr>
            <xdr:cNvPr id="3" name="REGION ">
              <a:extLst>
                <a:ext uri="{FF2B5EF4-FFF2-40B4-BE49-F238E27FC236}">
                  <a16:creationId xmlns:a16="http://schemas.microsoft.com/office/drawing/2014/main" id="{DFD6D4D2-EA54-ED2C-8BE3-965987EA7694}"/>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mlns="">
        <xdr:sp macro="" textlink="">
          <xdr:nvSpPr>
            <xdr:cNvPr id="0" name=""/>
            <xdr:cNvSpPr>
              <a:spLocks noTextEdit="1"/>
            </xdr:cNvSpPr>
          </xdr:nvSpPr>
          <xdr:spPr>
            <a:xfrm>
              <a:off x="6705600" y="2659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0</xdr:row>
      <xdr:rowOff>60960</xdr:rowOff>
    </xdr:from>
    <xdr:to>
      <xdr:col>13</xdr:col>
      <xdr:colOff>38100</xdr:colOff>
      <xdr:row>14</xdr:row>
      <xdr:rowOff>81915</xdr:rowOff>
    </xdr:to>
    <mc:AlternateContent xmlns:mc="http://schemas.openxmlformats.org/markup-compatibility/2006" xmlns:a14="http://schemas.microsoft.com/office/drawing/2010/main">
      <mc:Choice Requires="a14">
        <xdr:graphicFrame macro="">
          <xdr:nvGraphicFramePr>
            <xdr:cNvPr id="4" name="PRICE">
              <a:extLst>
                <a:ext uri="{FF2B5EF4-FFF2-40B4-BE49-F238E27FC236}">
                  <a16:creationId xmlns:a16="http://schemas.microsoft.com/office/drawing/2014/main" id="{3CC04C92-B360-8DB4-FE81-F6F30E9537F1}"/>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6705600" y="60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para vraj" refreshedDate="46124.536687731481" createdVersion="8" refreshedVersion="8" minRefreshableVersion="3" recordCount="5" xr:uid="{6F374462-79C3-48D0-AD22-69652C859843}">
  <cacheSource type="worksheet">
    <worksheetSource ref="A1:G6" sheet="Sheet2"/>
  </cacheSource>
  <cacheFields count="7">
    <cacheField name="ROLL NO." numFmtId="0">
      <sharedItems containsSemiMixedTypes="0" containsString="0" containsNumber="1" containsInteger="1" minValue="1" maxValue="5" count="5">
        <n v="1"/>
        <n v="2"/>
        <n v="3"/>
        <n v="4"/>
        <n v="5"/>
      </sharedItems>
    </cacheField>
    <cacheField name="student" numFmtId="0">
      <sharedItems count="5">
        <s v="VRAJ"/>
        <s v="HARSHIL"/>
        <s v="SHYAM"/>
        <s v="OM"/>
        <s v="KISHAN"/>
      </sharedItems>
    </cacheField>
    <cacheField name="CP-II" numFmtId="0">
      <sharedItems containsSemiMixedTypes="0" containsString="0" containsNumber="1" containsInteger="1" minValue="50" maxValue="85" count="4">
        <n v="70"/>
        <n v="85"/>
        <n v="80"/>
        <n v="50"/>
      </sharedItems>
    </cacheField>
    <cacheField name="WD-II" numFmtId="0">
      <sharedItems containsSemiMixedTypes="0" containsString="0" containsNumber="1" containsInteger="1" minValue="70" maxValue="90" count="3">
        <n v="90"/>
        <n v="85"/>
        <n v="70"/>
      </sharedItems>
    </cacheField>
    <cacheField name="OS" numFmtId="0">
      <sharedItems containsSemiMixedTypes="0" containsString="0" containsNumber="1" containsInteger="1" minValue="45" maxValue="87" count="4">
        <n v="80"/>
        <n v="87"/>
        <n v="60"/>
        <n v="45"/>
      </sharedItems>
    </cacheField>
    <cacheField name="DBMS-I" numFmtId="0">
      <sharedItems containsSemiMixedTypes="0" containsString="0" containsNumber="1" containsInteger="1" minValue="54" maxValue="90" count="5">
        <n v="85"/>
        <n v="90"/>
        <n v="70"/>
        <n v="74"/>
        <n v="54"/>
      </sharedItems>
    </cacheField>
    <cacheField name="OAT" numFmtId="0">
      <sharedItems containsSemiMixedTypes="0" containsString="0" containsNumber="1" containsInteger="1" minValue="50" maxValue="85" count="4">
        <n v="74"/>
        <n v="85"/>
        <n v="84"/>
        <n v="5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para vraj" refreshedDate="46124.56027465278" createdVersion="8" refreshedVersion="8" minRefreshableVersion="3" recordCount="10" xr:uid="{B59A852C-E52C-4D49-A404-DECADFB8AE5B}">
  <cacheSource type="worksheet">
    <worksheetSource ref="A1:H11" sheet="Sheet6"/>
  </cacheSource>
  <cacheFields count="8">
    <cacheField name="ID" numFmtId="0">
      <sharedItems containsSemiMixedTypes="0" containsString="0" containsNumber="1" containsInteger="1" minValue="101" maxValue="110"/>
    </cacheField>
    <cacheField name="CUSTOMER " numFmtId="0">
      <sharedItems/>
    </cacheField>
    <cacheField name="DEPT" numFmtId="0">
      <sharedItems/>
    </cacheField>
    <cacheField name="PRODUCT" numFmtId="0">
      <sharedItems/>
    </cacheField>
    <cacheField name="REGION " numFmtId="0">
      <sharedItems count="4">
        <s v="North"/>
        <s v="South"/>
        <s v="West"/>
        <s v="East"/>
      </sharedItems>
    </cacheField>
    <cacheField name="PRICE" numFmtId="0">
      <sharedItems containsSemiMixedTypes="0" containsString="0" containsNumber="1" containsInteger="1" minValue="300" maxValue="65000" count="9">
        <n v="24000"/>
        <n v="32000"/>
        <n v="65000"/>
        <n v="45000"/>
        <n v="4500"/>
        <n v="6000"/>
        <n v="3000"/>
        <n v="2000"/>
        <n v="300"/>
      </sharedItems>
    </cacheField>
    <cacheField name="QUANTITY" numFmtId="0">
      <sharedItems containsSemiMixedTypes="0" containsString="0" containsNumber="1" containsInteger="1" minValue="1" maxValue="10"/>
    </cacheField>
    <cacheField name="TOTAL" numFmtId="0">
      <sharedItems containsSemiMixedTypes="0" containsString="0" containsNumber="1" containsInteger="1" minValue="3000" maxValue="270000"/>
    </cacheField>
  </cacheFields>
  <extLst>
    <ext xmlns:x14="http://schemas.microsoft.com/office/spreadsheetml/2009/9/main" uri="{725AE2AE-9491-48be-B2B4-4EB974FC3084}">
      <x14:pivotCacheDefinition pivotCacheId="1774040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r>
  <r>
    <x v="1"/>
    <x v="1"/>
    <x v="1"/>
    <x v="0"/>
    <x v="1"/>
    <x v="1"/>
    <x v="1"/>
  </r>
  <r>
    <x v="2"/>
    <x v="2"/>
    <x v="1"/>
    <x v="1"/>
    <x v="2"/>
    <x v="2"/>
    <x v="2"/>
  </r>
  <r>
    <x v="3"/>
    <x v="3"/>
    <x v="2"/>
    <x v="2"/>
    <x v="2"/>
    <x v="3"/>
    <x v="1"/>
  </r>
  <r>
    <x v="4"/>
    <x v="4"/>
    <x v="3"/>
    <x v="2"/>
    <x v="3"/>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s v="vraj"/>
    <s v="CE"/>
    <s v="laptop"/>
    <x v="0"/>
    <x v="0"/>
    <n v="1"/>
    <n v="24000"/>
  </r>
  <r>
    <n v="102"/>
    <s v="Harshil"/>
    <s v="CE"/>
    <s v="moues"/>
    <x v="1"/>
    <x v="1"/>
    <n v="2"/>
    <n v="64000"/>
  </r>
  <r>
    <n v="103"/>
    <s v="Shyam"/>
    <s v="CE"/>
    <s v="keyboard"/>
    <x v="2"/>
    <x v="2"/>
    <n v="3"/>
    <n v="195000"/>
  </r>
  <r>
    <n v="104"/>
    <s v="om"/>
    <s v="CE"/>
    <s v="mobile"/>
    <x v="1"/>
    <x v="3"/>
    <n v="4"/>
    <n v="180000"/>
  </r>
  <r>
    <n v="105"/>
    <s v="dev"/>
    <s v="CSE"/>
    <s v="headphones"/>
    <x v="0"/>
    <x v="4"/>
    <n v="5"/>
    <n v="22500"/>
  </r>
  <r>
    <n v="106"/>
    <s v="Savan"/>
    <s v="CSE"/>
    <s v="tablet"/>
    <x v="1"/>
    <x v="3"/>
    <n v="6"/>
    <n v="270000"/>
  </r>
  <r>
    <n v="107"/>
    <s v="jay"/>
    <s v="CSE"/>
    <s v="charger"/>
    <x v="3"/>
    <x v="5"/>
    <n v="7"/>
    <n v="42000"/>
  </r>
  <r>
    <n v="108"/>
    <s v="tirth"/>
    <s v="IT"/>
    <s v="laptop"/>
    <x v="0"/>
    <x v="6"/>
    <n v="8"/>
    <n v="24000"/>
  </r>
  <r>
    <n v="109"/>
    <s v="Kishan"/>
    <s v="IT"/>
    <s v="mobile"/>
    <x v="2"/>
    <x v="7"/>
    <n v="9"/>
    <n v="18000"/>
  </r>
  <r>
    <n v="110"/>
    <s v="dhruv"/>
    <s v="IT"/>
    <s v="moues"/>
    <x v="0"/>
    <x v="8"/>
    <n v="10"/>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76EA1-65EA-443E-A280-5C2AA607FA9A}"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4" firstHeaderRow="0" firstDataRow="1" firstDataCol="1"/>
  <pivotFields count="7">
    <pivotField axis="axisRow" showAll="0">
      <items count="6">
        <item x="0"/>
        <item x="1"/>
        <item x="2"/>
        <item x="3"/>
        <item x="4"/>
        <item t="default"/>
      </items>
    </pivotField>
    <pivotField axis="axisRow" showAll="0">
      <items count="6">
        <item x="1"/>
        <item x="4"/>
        <item x="3"/>
        <item x="2"/>
        <item x="0"/>
        <item t="default"/>
      </items>
    </pivotField>
    <pivotField dataField="1" showAll="0">
      <items count="5">
        <item x="3"/>
        <item x="0"/>
        <item x="2"/>
        <item x="1"/>
        <item t="default"/>
      </items>
    </pivotField>
    <pivotField dataField="1" showAll="0">
      <items count="4">
        <item x="2"/>
        <item x="1"/>
        <item x="0"/>
        <item t="default"/>
      </items>
    </pivotField>
    <pivotField dataField="1" showAll="0">
      <items count="5">
        <item x="3"/>
        <item x="2"/>
        <item x="0"/>
        <item x="1"/>
        <item t="default"/>
      </items>
    </pivotField>
    <pivotField dataField="1" showAll="0">
      <items count="6">
        <item x="4"/>
        <item x="2"/>
        <item x="3"/>
        <item x="0"/>
        <item x="1"/>
        <item t="default"/>
      </items>
    </pivotField>
    <pivotField dataField="1" showAll="0">
      <items count="5">
        <item x="3"/>
        <item x="0"/>
        <item x="2"/>
        <item x="1"/>
        <item t="default"/>
      </items>
    </pivotField>
  </pivotFields>
  <rowFields count="2">
    <field x="1"/>
    <field x="0"/>
  </rowFields>
  <rowItems count="11">
    <i>
      <x/>
    </i>
    <i r="1">
      <x v="1"/>
    </i>
    <i>
      <x v="1"/>
    </i>
    <i r="1">
      <x v="4"/>
    </i>
    <i>
      <x v="2"/>
    </i>
    <i r="1">
      <x v="3"/>
    </i>
    <i>
      <x v="3"/>
    </i>
    <i r="1">
      <x v="2"/>
    </i>
    <i>
      <x v="4"/>
    </i>
    <i r="1">
      <x/>
    </i>
    <i t="grand">
      <x/>
    </i>
  </rowItems>
  <colFields count="1">
    <field x="-2"/>
  </colFields>
  <colItems count="5">
    <i>
      <x/>
    </i>
    <i i="1">
      <x v="1"/>
    </i>
    <i i="2">
      <x v="2"/>
    </i>
    <i i="3">
      <x v="3"/>
    </i>
    <i i="4">
      <x v="4"/>
    </i>
  </colItems>
  <dataFields count="5">
    <dataField name="Sum of WD-II" fld="3" baseField="0" baseItem="0"/>
    <dataField name="Sum of DBMS-I" fld="5" baseField="0" baseItem="0"/>
    <dataField name="Sum of CP-II" fld="2" baseField="0" baseItem="0"/>
    <dataField name="Sum of OAT" fld="6" baseField="0" baseItem="0"/>
    <dataField name="Sum of OS" fld="4" baseField="0" baseItem="0"/>
  </dataFields>
  <chartFormats count="5">
    <chartFormat chart="0" format="87" series="1">
      <pivotArea type="data" outline="0" fieldPosition="0">
        <references count="1">
          <reference field="4294967294" count="1" selected="0">
            <x v="0"/>
          </reference>
        </references>
      </pivotArea>
    </chartFormat>
    <chartFormat chart="0" format="88" series="1">
      <pivotArea type="data" outline="0" fieldPosition="0">
        <references count="1">
          <reference field="4294967294" count="1" selected="0">
            <x v="1"/>
          </reference>
        </references>
      </pivotArea>
    </chartFormat>
    <chartFormat chart="0" format="89" series="1">
      <pivotArea type="data" outline="0" fieldPosition="0">
        <references count="1">
          <reference field="4294967294" count="1" selected="0">
            <x v="2"/>
          </reference>
        </references>
      </pivotArea>
    </chartFormat>
    <chartFormat chart="0" format="90" series="1">
      <pivotArea type="data" outline="0" fieldPosition="0">
        <references count="1">
          <reference field="4294967294" count="1" selected="0">
            <x v="3"/>
          </reference>
        </references>
      </pivotArea>
    </chartFormat>
    <chartFormat chart="0" format="91"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3C4FFB-4ABD-4FA0-BD09-1B107DD8603F}" name="PivotTable6" cacheId="5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9" firstHeaderRow="0" firstDataRow="0"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B8CEF-145F-44B2-98FC-0D76E313B798}"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pivotFields count="8">
    <pivotField showAll="0"/>
    <pivotField showAll="0"/>
    <pivotField showAll="0"/>
    <pivotField showAll="0"/>
    <pivotField axis="axisCol" showAll="0">
      <items count="5">
        <item h="1" x="3"/>
        <item x="0"/>
        <item h="1" x="1"/>
        <item h="1" x="2"/>
        <item t="default"/>
      </items>
    </pivotField>
    <pivotField dataField="1" showAll="0">
      <items count="10">
        <item h="1" x="8"/>
        <item h="1" x="7"/>
        <item x="6"/>
        <item h="1" x="4"/>
        <item h="1" x="5"/>
        <item h="1" x="0"/>
        <item h="1" x="1"/>
        <item h="1" x="3"/>
        <item h="1" x="2"/>
        <item t="default"/>
      </items>
    </pivotField>
    <pivotField showAll="0"/>
    <pivotField showAll="0"/>
  </pivotFields>
  <rowItems count="1">
    <i/>
  </rowItems>
  <colFields count="1">
    <field x="4"/>
  </colFields>
  <colItems count="2">
    <i>
      <x v="1"/>
    </i>
    <i t="grand">
      <x/>
    </i>
  </colItems>
  <dataFields count="1">
    <dataField name="Sum of PRICE" fld="5" baseField="0" baseItem="0"/>
  </dataFields>
  <chartFormats count="5">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2"/>
          </reference>
        </references>
      </pivotArea>
    </chartFormat>
    <chartFormat chart="0" format="4" series="1">
      <pivotArea type="data" outline="0" fieldPosition="0">
        <references count="2">
          <reference field="4294967294" count="1" selected="0">
            <x v="0"/>
          </reference>
          <reference field="4" count="1" selected="0">
            <x v="3"/>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1">
    <v>2</v>
    <v>8</v>
    <v>17</v>
    <v>7</v>
  </rv>
</rvData>
</file>

<file path=xl/richData/rdrichvaluestructure.xml><?xml version="1.0" encoding="utf-8"?>
<rvStructures xmlns="http://schemas.microsoft.com/office/spreadsheetml/2017/richdata" count="2">
  <s t="_localImage">
    <k n="_rvRel:LocalImageIdentifier" t="i"/>
    <k n="CalcOrigin" t="i"/>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92E8AF-9696-4DAE-8F71-F9567FC8D55F}" sourceName="REGION ">
  <pivotTables>
    <pivotTable tabId="9" name="PivotTable8"/>
  </pivotTables>
  <data>
    <tabular pivotCacheId="1774040863">
      <items count="4">
        <i x="0" s="1"/>
        <i x="3" nd="1"/>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ECD0ECA4-746D-4FE6-A4C5-22D95423EF75}" sourceName="PRICE">
  <pivotTables>
    <pivotTable tabId="9" name="PivotTable8"/>
  </pivotTables>
  <data>
    <tabular pivotCacheId="1774040863">
      <items count="9">
        <i x="8"/>
        <i x="6" s="1"/>
        <i x="4"/>
        <i x="0"/>
        <i x="7" nd="1"/>
        <i x="5" nd="1"/>
        <i x="1" nd="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 xr10:uid="{4C33DF9D-00AD-45A2-8AC6-28FAA3E67900}" cache="Slicer_REGION" caption="REGION " rowHeight="247650"/>
  <slicer name="PRICE" xr10:uid="{020C0540-0EBA-46BC-A1CC-4B770A9804C7}" cache="Slicer_PRICE" caption="PRIC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7F2A0-EAC1-420D-B083-C90A801C6403}">
  <dimension ref="A1:T28"/>
  <sheetViews>
    <sheetView zoomScaleNormal="100" workbookViewId="0">
      <selection activeCell="M21" sqref="M21"/>
    </sheetView>
  </sheetViews>
  <sheetFormatPr defaultRowHeight="14.4" x14ac:dyDescent="0.3"/>
  <cols>
    <col min="2" max="2" width="20.44140625" bestFit="1" customWidth="1"/>
    <col min="3" max="3" width="10.109375" bestFit="1" customWidth="1"/>
    <col min="14" max="14" width="12.44140625" bestFit="1" customWidth="1"/>
    <col min="15" max="15" width="12.33203125" bestFit="1" customWidth="1"/>
    <col min="16" max="16" width="11.109375" bestFit="1" customWidth="1"/>
    <col min="17" max="17" width="18.21875" bestFit="1" customWidth="1"/>
    <col min="18" max="18" width="13.6640625" bestFit="1" customWidth="1"/>
    <col min="19" max="19" width="12.21875" bestFit="1" customWidth="1"/>
  </cols>
  <sheetData>
    <row r="1" spans="1:20" ht="17.399999999999999" x14ac:dyDescent="0.45">
      <c r="A1" t="s">
        <v>0</v>
      </c>
      <c r="B1" t="s">
        <v>12</v>
      </c>
      <c r="C1" t="s">
        <v>13</v>
      </c>
      <c r="D1" t="s">
        <v>6</v>
      </c>
      <c r="E1" t="s">
        <v>7</v>
      </c>
      <c r="F1" t="s">
        <v>8</v>
      </c>
      <c r="G1" t="s">
        <v>9</v>
      </c>
      <c r="H1" t="s">
        <v>10</v>
      </c>
      <c r="I1" t="s">
        <v>15</v>
      </c>
      <c r="J1" t="s">
        <v>16</v>
      </c>
      <c r="K1" t="s">
        <v>17</v>
      </c>
      <c r="L1" t="s">
        <v>18</v>
      </c>
      <c r="M1" t="s">
        <v>19</v>
      </c>
      <c r="N1" s="1" t="s">
        <v>20</v>
      </c>
      <c r="O1" s="1" t="s">
        <v>21</v>
      </c>
      <c r="P1" s="1" t="s">
        <v>22</v>
      </c>
      <c r="Q1" s="1" t="s">
        <v>23</v>
      </c>
      <c r="R1" s="1" t="s">
        <v>24</v>
      </c>
      <c r="S1" s="2" t="s">
        <v>25</v>
      </c>
    </row>
    <row r="2" spans="1:20" x14ac:dyDescent="0.3">
      <c r="A2">
        <v>1</v>
      </c>
      <c r="B2" t="s">
        <v>1</v>
      </c>
      <c r="C2" t="s">
        <v>14</v>
      </c>
      <c r="D2">
        <v>70</v>
      </c>
      <c r="E2">
        <v>90</v>
      </c>
      <c r="F2">
        <v>80</v>
      </c>
      <c r="G2">
        <v>85</v>
      </c>
      <c r="H2">
        <v>74</v>
      </c>
      <c r="I2">
        <f>SUM(D2:H2)</f>
        <v>399</v>
      </c>
      <c r="J2">
        <f>AVERAGEA(I2)/5</f>
        <v>79.8</v>
      </c>
      <c r="K2" t="str">
        <f>IF(J2&gt;85,"A",IF(J2&gt;70,"B",IF(J2&gt;50,"C")))</f>
        <v>B</v>
      </c>
      <c r="L2">
        <f>MAX(D2:H2)</f>
        <v>90</v>
      </c>
      <c r="M2">
        <f>MIN(D2:H2)</f>
        <v>70</v>
      </c>
      <c r="N2" t="str">
        <f>UPPER(B2)</f>
        <v>VRAJ</v>
      </c>
      <c r="O2" t="str">
        <f>LOWER(C2)</f>
        <v>patel</v>
      </c>
      <c r="P2">
        <f>COUNTIF(D2:H2,"&gt;=60")</f>
        <v>5</v>
      </c>
      <c r="Q2" t="str">
        <f>CONCATENATE(B2,"    ",C2)</f>
        <v>VRAJ    PATEL</v>
      </c>
      <c r="R2" t="str">
        <f>TRIM(Q2)</f>
        <v>VRAJ PATEL</v>
      </c>
      <c r="S2" t="str">
        <f>PROPER(Q2)</f>
        <v>Vraj    Patel</v>
      </c>
    </row>
    <row r="3" spans="1:20" x14ac:dyDescent="0.3">
      <c r="A3">
        <v>2</v>
      </c>
      <c r="B3" t="s">
        <v>2</v>
      </c>
      <c r="C3" t="s">
        <v>14</v>
      </c>
      <c r="D3">
        <v>85</v>
      </c>
      <c r="E3">
        <v>90</v>
      </c>
      <c r="F3">
        <v>87</v>
      </c>
      <c r="G3">
        <v>90</v>
      </c>
      <c r="H3">
        <v>85</v>
      </c>
      <c r="I3">
        <f t="shared" ref="I3:I6" si="0">SUM(D3:H3)</f>
        <v>437</v>
      </c>
      <c r="J3">
        <f t="shared" ref="J3:J6" si="1">AVERAGEA(I3)/5</f>
        <v>87.4</v>
      </c>
      <c r="K3" t="str">
        <f t="shared" ref="K3:K6" si="2">IF(J3&gt;85,"A",IF(J3&gt;70,"B",IF(J3&gt;50,"C")))</f>
        <v>A</v>
      </c>
      <c r="L3">
        <f t="shared" ref="L3:L6" si="3">MAX(D3:H3)</f>
        <v>90</v>
      </c>
      <c r="M3">
        <f t="shared" ref="M3:M6" si="4">MIN(D3:H3)</f>
        <v>85</v>
      </c>
      <c r="N3" t="str">
        <f t="shared" ref="N3:N6" si="5">UPPER(B3)</f>
        <v>HARSHIL</v>
      </c>
      <c r="O3" t="str">
        <f t="shared" ref="O3:O6" si="6">LOWER(C3)</f>
        <v>patel</v>
      </c>
      <c r="P3">
        <f t="shared" ref="P3:P6" si="7">COUNTIF(D3:H3,"&gt;=60")</f>
        <v>5</v>
      </c>
      <c r="Q3" t="str">
        <f t="shared" ref="Q3:Q6" si="8">CONCATENATE(B3,"    ",C3)</f>
        <v>HARSHIL    PATEL</v>
      </c>
      <c r="R3" t="str">
        <f t="shared" ref="R3:R6" si="9">TRIM(Q3)</f>
        <v>HARSHIL PATEL</v>
      </c>
      <c r="S3" t="str">
        <f t="shared" ref="S3:S6" si="10">PROPER(Q3)</f>
        <v>Harshil    Patel</v>
      </c>
    </row>
    <row r="4" spans="1:20" x14ac:dyDescent="0.3">
      <c r="A4">
        <v>3</v>
      </c>
      <c r="B4" t="s">
        <v>3</v>
      </c>
      <c r="C4" t="s">
        <v>14</v>
      </c>
      <c r="D4">
        <v>85</v>
      </c>
      <c r="E4">
        <v>85</v>
      </c>
      <c r="F4">
        <v>60</v>
      </c>
      <c r="G4">
        <v>70</v>
      </c>
      <c r="H4">
        <v>84</v>
      </c>
      <c r="I4">
        <f t="shared" si="0"/>
        <v>384</v>
      </c>
      <c r="J4">
        <f t="shared" si="1"/>
        <v>76.8</v>
      </c>
      <c r="K4" t="str">
        <f t="shared" si="2"/>
        <v>B</v>
      </c>
      <c r="L4">
        <f t="shared" si="3"/>
        <v>85</v>
      </c>
      <c r="M4">
        <f t="shared" si="4"/>
        <v>60</v>
      </c>
      <c r="N4" t="str">
        <f t="shared" si="5"/>
        <v>SHYAM</v>
      </c>
      <c r="O4" t="str">
        <f t="shared" si="6"/>
        <v>patel</v>
      </c>
      <c r="P4">
        <f t="shared" si="7"/>
        <v>5</v>
      </c>
      <c r="Q4" t="str">
        <f t="shared" si="8"/>
        <v>SHYAM    PATEL</v>
      </c>
      <c r="R4" t="str">
        <f t="shared" si="9"/>
        <v>SHYAM PATEL</v>
      </c>
      <c r="S4" t="str">
        <f t="shared" si="10"/>
        <v>Shyam    Patel</v>
      </c>
    </row>
    <row r="5" spans="1:20" x14ac:dyDescent="0.3">
      <c r="A5">
        <v>4</v>
      </c>
      <c r="B5" t="s">
        <v>4</v>
      </c>
      <c r="C5" t="s">
        <v>14</v>
      </c>
      <c r="D5">
        <v>80</v>
      </c>
      <c r="E5">
        <v>70</v>
      </c>
      <c r="F5">
        <v>60</v>
      </c>
      <c r="G5">
        <v>74</v>
      </c>
      <c r="H5">
        <v>85</v>
      </c>
      <c r="I5">
        <f t="shared" si="0"/>
        <v>369</v>
      </c>
      <c r="J5">
        <f t="shared" si="1"/>
        <v>73.8</v>
      </c>
      <c r="K5" t="str">
        <f t="shared" si="2"/>
        <v>B</v>
      </c>
      <c r="L5">
        <f t="shared" si="3"/>
        <v>85</v>
      </c>
      <c r="M5">
        <f t="shared" si="4"/>
        <v>60</v>
      </c>
      <c r="N5" t="str">
        <f t="shared" si="5"/>
        <v>OM</v>
      </c>
      <c r="O5" t="str">
        <f t="shared" si="6"/>
        <v>patel</v>
      </c>
      <c r="P5">
        <f t="shared" si="7"/>
        <v>5</v>
      </c>
      <c r="Q5" t="str">
        <f t="shared" si="8"/>
        <v>OM    PATEL</v>
      </c>
      <c r="R5" t="str">
        <f t="shared" si="9"/>
        <v>OM PATEL</v>
      </c>
      <c r="S5" t="str">
        <f t="shared" si="10"/>
        <v>Om    Patel</v>
      </c>
    </row>
    <row r="6" spans="1:20" x14ac:dyDescent="0.3">
      <c r="A6">
        <v>5</v>
      </c>
      <c r="B6" t="s">
        <v>5</v>
      </c>
      <c r="C6" t="s">
        <v>14</v>
      </c>
      <c r="D6">
        <v>50</v>
      </c>
      <c r="E6">
        <v>70</v>
      </c>
      <c r="F6">
        <v>45</v>
      </c>
      <c r="G6">
        <v>54</v>
      </c>
      <c r="H6">
        <v>50</v>
      </c>
      <c r="I6">
        <f t="shared" si="0"/>
        <v>269</v>
      </c>
      <c r="J6">
        <f t="shared" si="1"/>
        <v>53.8</v>
      </c>
      <c r="K6" t="str">
        <f t="shared" si="2"/>
        <v>C</v>
      </c>
      <c r="L6">
        <f t="shared" si="3"/>
        <v>70</v>
      </c>
      <c r="M6">
        <f t="shared" si="4"/>
        <v>45</v>
      </c>
      <c r="N6" t="str">
        <f t="shared" si="5"/>
        <v>KISHAN</v>
      </c>
      <c r="O6" t="str">
        <f t="shared" si="6"/>
        <v>patel</v>
      </c>
      <c r="P6">
        <f t="shared" si="7"/>
        <v>1</v>
      </c>
      <c r="Q6" t="str">
        <f t="shared" si="8"/>
        <v>KISHAN    PATEL</v>
      </c>
      <c r="R6" t="str">
        <f t="shared" si="9"/>
        <v>KISHAN PATEL</v>
      </c>
      <c r="S6" t="str">
        <f t="shared" si="10"/>
        <v>Kishan    Patel</v>
      </c>
    </row>
    <row r="10" spans="1:20" x14ac:dyDescent="0.3">
      <c r="B10" s="15" t="s">
        <v>15</v>
      </c>
      <c r="C10" s="13" t="e" vm="1">
        <v>#VALUE!</v>
      </c>
      <c r="D10" s="13"/>
      <c r="E10" s="13"/>
      <c r="F10" s="13"/>
      <c r="G10" s="13"/>
      <c r="H10" s="13"/>
      <c r="I10" s="13"/>
      <c r="J10" s="13"/>
      <c r="L10" s="14" t="s">
        <v>24</v>
      </c>
      <c r="M10" s="13" t="e" vm="2">
        <v>#VALUE!</v>
      </c>
      <c r="N10" s="13"/>
      <c r="O10" s="13"/>
      <c r="P10" s="13"/>
      <c r="Q10" s="13"/>
      <c r="R10" s="13"/>
      <c r="S10" s="13"/>
      <c r="T10" s="13"/>
    </row>
    <row r="11" spans="1:20" x14ac:dyDescent="0.3">
      <c r="B11" s="15"/>
      <c r="C11" s="13"/>
      <c r="D11" s="13"/>
      <c r="E11" s="13"/>
      <c r="F11" s="13"/>
      <c r="G11" s="13"/>
      <c r="H11" s="13"/>
      <c r="I11" s="13"/>
      <c r="J11" s="13"/>
      <c r="L11" s="14"/>
      <c r="M11" s="13"/>
      <c r="N11" s="13"/>
      <c r="O11" s="13"/>
      <c r="P11" s="13"/>
      <c r="Q11" s="13"/>
      <c r="R11" s="13"/>
      <c r="S11" s="13"/>
      <c r="T11" s="13"/>
    </row>
    <row r="12" spans="1:20" ht="15.6" x14ac:dyDescent="0.3">
      <c r="B12" s="4"/>
    </row>
    <row r="13" spans="1:20" ht="18" customHeight="1" x14ac:dyDescent="0.3">
      <c r="B13" s="16" t="s">
        <v>16</v>
      </c>
      <c r="C13" s="13" t="e" vm="3">
        <v>#VALUE!</v>
      </c>
      <c r="D13" s="13"/>
      <c r="E13" s="13"/>
      <c r="F13" s="13"/>
      <c r="G13" s="13"/>
      <c r="H13" s="13"/>
      <c r="I13" s="13"/>
      <c r="J13" s="13"/>
      <c r="L13" s="17" t="s">
        <v>52</v>
      </c>
      <c r="M13" s="17"/>
      <c r="N13" s="13" t="e" vm="4">
        <v>#VALUE!</v>
      </c>
      <c r="O13" s="13"/>
      <c r="P13" s="13"/>
      <c r="Q13" s="13"/>
      <c r="R13" s="13"/>
    </row>
    <row r="14" spans="1:20" ht="18" customHeight="1" x14ac:dyDescent="0.3">
      <c r="B14" s="16"/>
      <c r="C14" s="13"/>
      <c r="D14" s="13"/>
      <c r="E14" s="13"/>
      <c r="F14" s="13"/>
      <c r="G14" s="13"/>
      <c r="H14" s="13"/>
      <c r="I14" s="13"/>
      <c r="J14" s="13"/>
      <c r="L14" s="17"/>
      <c r="M14" s="17"/>
      <c r="N14" s="13"/>
      <c r="O14" s="13"/>
      <c r="P14" s="13"/>
      <c r="Q14" s="13"/>
      <c r="R14" s="13"/>
    </row>
    <row r="15" spans="1:20" ht="18" x14ac:dyDescent="0.35">
      <c r="B15" s="4"/>
      <c r="L15" s="5" t="s">
        <v>53</v>
      </c>
      <c r="N15" s="13"/>
      <c r="O15" s="13"/>
      <c r="P15" s="13"/>
      <c r="Q15" s="13"/>
      <c r="R15" s="13"/>
    </row>
    <row r="16" spans="1:20" x14ac:dyDescent="0.3">
      <c r="B16" s="15" t="s">
        <v>17</v>
      </c>
      <c r="C16" s="13" t="e" vm="5">
        <v>#VALUE!</v>
      </c>
      <c r="D16" s="13"/>
      <c r="E16" s="13"/>
      <c r="F16" s="13"/>
      <c r="G16" s="13"/>
      <c r="H16" s="13"/>
      <c r="I16" s="13"/>
      <c r="J16" s="13"/>
      <c r="N16" s="13"/>
      <c r="O16" s="13"/>
      <c r="P16" s="13"/>
      <c r="Q16" s="13"/>
      <c r="R16" s="13"/>
    </row>
    <row r="17" spans="2:18" x14ac:dyDescent="0.3">
      <c r="B17" s="15"/>
      <c r="C17" s="13"/>
      <c r="D17" s="13"/>
      <c r="E17" s="13"/>
      <c r="F17" s="13"/>
      <c r="G17" s="13"/>
      <c r="H17" s="13"/>
      <c r="I17" s="13"/>
      <c r="J17" s="13"/>
      <c r="N17" s="13" t="e" vm="6">
        <v>#VALUE!</v>
      </c>
      <c r="O17" s="13"/>
      <c r="P17" s="13"/>
      <c r="Q17" s="13"/>
      <c r="R17" s="13"/>
    </row>
    <row r="18" spans="2:18" ht="15.6" x14ac:dyDescent="0.3">
      <c r="B18" s="4"/>
      <c r="N18" s="13"/>
      <c r="O18" s="13"/>
      <c r="P18" s="13"/>
      <c r="Q18" s="13"/>
      <c r="R18" s="13"/>
    </row>
    <row r="19" spans="2:18" x14ac:dyDescent="0.3">
      <c r="B19" s="15" t="s">
        <v>18</v>
      </c>
      <c r="C19" s="13" t="e" vm="7">
        <v>#VALUE!</v>
      </c>
      <c r="D19" s="13"/>
      <c r="E19" s="13"/>
      <c r="F19" s="13"/>
      <c r="G19" s="13"/>
      <c r="H19" s="13"/>
      <c r="I19" s="13"/>
      <c r="J19" s="13"/>
    </row>
    <row r="20" spans="2:18" x14ac:dyDescent="0.3">
      <c r="B20" s="15"/>
      <c r="C20" s="13"/>
      <c r="D20" s="13"/>
      <c r="E20" s="13"/>
      <c r="F20" s="13"/>
      <c r="G20" s="13"/>
      <c r="H20" s="13"/>
      <c r="I20" s="13"/>
      <c r="J20" s="13"/>
    </row>
    <row r="21" spans="2:18" ht="15.6" x14ac:dyDescent="0.3">
      <c r="B21" s="4"/>
    </row>
    <row r="22" spans="2:18" ht="17.399999999999999" customHeight="1" x14ac:dyDescent="0.3">
      <c r="B22" s="14" t="s">
        <v>22</v>
      </c>
      <c r="C22" s="13" t="e" vm="8">
        <v>#VALUE!</v>
      </c>
      <c r="D22" s="13"/>
      <c r="E22" s="13"/>
      <c r="F22" s="13"/>
      <c r="G22" s="13"/>
      <c r="H22" s="13"/>
      <c r="I22" s="13"/>
      <c r="J22" s="13"/>
    </row>
    <row r="23" spans="2:18" x14ac:dyDescent="0.3">
      <c r="B23" s="14"/>
      <c r="C23" s="13"/>
      <c r="D23" s="13"/>
      <c r="E23" s="13"/>
      <c r="F23" s="13"/>
      <c r="G23" s="13"/>
      <c r="H23" s="13"/>
      <c r="I23" s="13"/>
      <c r="J23" s="13"/>
    </row>
    <row r="24" spans="2:18" ht="15.6" x14ac:dyDescent="0.3">
      <c r="B24" s="4"/>
    </row>
    <row r="25" spans="2:18" ht="17.399999999999999" customHeight="1" x14ac:dyDescent="0.3">
      <c r="B25" s="14" t="s">
        <v>23</v>
      </c>
      <c r="C25" s="13" t="e" vm="9">
        <v>#VALUE!</v>
      </c>
      <c r="D25" s="13"/>
      <c r="E25" s="13"/>
      <c r="F25" s="13"/>
      <c r="G25" s="13"/>
      <c r="H25" s="13"/>
      <c r="I25" s="13"/>
      <c r="J25" s="13"/>
    </row>
    <row r="26" spans="2:18" x14ac:dyDescent="0.3">
      <c r="B26" s="14"/>
      <c r="C26" s="13"/>
      <c r="D26" s="13"/>
      <c r="E26" s="13"/>
      <c r="F26" s="13"/>
      <c r="G26" s="13"/>
      <c r="H26" s="13"/>
      <c r="I26" s="13"/>
      <c r="J26" s="13"/>
    </row>
    <row r="27" spans="2:18" ht="15.6" x14ac:dyDescent="0.3">
      <c r="B27" s="4"/>
    </row>
    <row r="28" spans="2:18" ht="17.399999999999999" customHeight="1" x14ac:dyDescent="0.3"/>
  </sheetData>
  <mergeCells count="17">
    <mergeCell ref="L13:M14"/>
    <mergeCell ref="N13:R16"/>
    <mergeCell ref="N17:R18"/>
    <mergeCell ref="B25:B26"/>
    <mergeCell ref="C25:J26"/>
    <mergeCell ref="L10:L11"/>
    <mergeCell ref="M10:T11"/>
    <mergeCell ref="B16:B17"/>
    <mergeCell ref="C16:J17"/>
    <mergeCell ref="B19:B20"/>
    <mergeCell ref="C19:J20"/>
    <mergeCell ref="B22:B23"/>
    <mergeCell ref="C22:J23"/>
    <mergeCell ref="C10:J11"/>
    <mergeCell ref="B10:B11"/>
    <mergeCell ref="B13:B14"/>
    <mergeCell ref="C13:J14"/>
  </mergeCells>
  <pageMargins left="0.7" right="0.7" top="0.75" bottom="0.75" header="0.3" footer="0.3"/>
  <pageSetup orientation="portrait" r:id="rId1"/>
  <headerFooter>
    <oddHeader xml:space="preserve">&amp;C&amp;G
</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5E56B-9BEB-4204-B1D9-3DA79E16D06D}">
  <dimension ref="A3:F14"/>
  <sheetViews>
    <sheetView workbookViewId="0">
      <selection activeCell="N26" sqref="N26"/>
    </sheetView>
  </sheetViews>
  <sheetFormatPr defaultRowHeight="14.4" x14ac:dyDescent="0.3"/>
  <cols>
    <col min="1" max="1" width="12.44140625" bestFit="1" customWidth="1"/>
    <col min="2" max="2" width="11.6640625" bestFit="1" customWidth="1"/>
    <col min="3" max="3" width="13.21875" bestFit="1" customWidth="1"/>
    <col min="4" max="4" width="11.109375" bestFit="1" customWidth="1"/>
    <col min="5" max="5" width="10.33203125" bestFit="1" customWidth="1"/>
    <col min="6" max="6" width="9.44140625" bestFit="1" customWidth="1"/>
    <col min="7" max="7" width="13.21875" bestFit="1" customWidth="1"/>
    <col min="8" max="8" width="11.109375" bestFit="1" customWidth="1"/>
    <col min="9" max="9" width="9.44140625" bestFit="1" customWidth="1"/>
    <col min="10" max="10" width="11.6640625" bestFit="1" customWidth="1"/>
    <col min="11" max="11" width="13.21875" bestFit="1" customWidth="1"/>
    <col min="12" max="12" width="11.109375" bestFit="1" customWidth="1"/>
    <col min="13" max="13" width="9.44140625" bestFit="1" customWidth="1"/>
    <col min="14" max="14" width="11.6640625" bestFit="1" customWidth="1"/>
    <col min="15" max="15" width="13.21875" bestFit="1" customWidth="1"/>
    <col min="16" max="16" width="11.109375" bestFit="1" customWidth="1"/>
    <col min="17" max="17" width="9.44140625" bestFit="1" customWidth="1"/>
    <col min="18" max="18" width="16.21875" bestFit="1" customWidth="1"/>
    <col min="19" max="19" width="17.77734375" bestFit="1" customWidth="1"/>
    <col min="20" max="20" width="15.6640625" bestFit="1" customWidth="1"/>
    <col min="21" max="21" width="14" bestFit="1" customWidth="1"/>
    <col min="22" max="22" width="13.5546875" bestFit="1" customWidth="1"/>
    <col min="23" max="23" width="11.6640625" bestFit="1" customWidth="1"/>
    <col min="24" max="24" width="13.21875" bestFit="1" customWidth="1"/>
    <col min="25" max="25" width="11.109375" bestFit="1" customWidth="1"/>
    <col min="26" max="26" width="14.109375" bestFit="1" customWidth="1"/>
    <col min="27" max="27" width="15.5546875" bestFit="1" customWidth="1"/>
    <col min="28" max="28" width="13.5546875" bestFit="1" customWidth="1"/>
    <col min="29" max="29" width="16.21875" bestFit="1" customWidth="1"/>
    <col min="30" max="30" width="17.77734375" bestFit="1" customWidth="1"/>
    <col min="31" max="31" width="15.6640625" bestFit="1" customWidth="1"/>
  </cols>
  <sheetData>
    <row r="3" spans="1:6" x14ac:dyDescent="0.3">
      <c r="A3" s="7" t="s">
        <v>45</v>
      </c>
      <c r="B3" t="s">
        <v>48</v>
      </c>
      <c r="C3" t="s">
        <v>50</v>
      </c>
      <c r="D3" t="s">
        <v>47</v>
      </c>
      <c r="E3" t="s">
        <v>51</v>
      </c>
      <c r="F3" t="s">
        <v>49</v>
      </c>
    </row>
    <row r="4" spans="1:6" x14ac:dyDescent="0.3">
      <c r="A4" s="6" t="s">
        <v>2</v>
      </c>
      <c r="B4" s="19">
        <v>90</v>
      </c>
      <c r="C4" s="19">
        <v>90</v>
      </c>
      <c r="D4" s="19">
        <v>85</v>
      </c>
      <c r="E4" s="19">
        <v>85</v>
      </c>
      <c r="F4" s="19">
        <v>87</v>
      </c>
    </row>
    <row r="5" spans="1:6" x14ac:dyDescent="0.3">
      <c r="A5" s="8">
        <v>2</v>
      </c>
      <c r="B5" s="19">
        <v>90</v>
      </c>
      <c r="C5" s="19">
        <v>90</v>
      </c>
      <c r="D5" s="19">
        <v>85</v>
      </c>
      <c r="E5" s="19">
        <v>85</v>
      </c>
      <c r="F5" s="19">
        <v>87</v>
      </c>
    </row>
    <row r="6" spans="1:6" x14ac:dyDescent="0.3">
      <c r="A6" s="6" t="s">
        <v>5</v>
      </c>
      <c r="B6" s="19">
        <v>70</v>
      </c>
      <c r="C6" s="19">
        <v>54</v>
      </c>
      <c r="D6" s="19">
        <v>50</v>
      </c>
      <c r="E6" s="19">
        <v>50</v>
      </c>
      <c r="F6" s="19">
        <v>45</v>
      </c>
    </row>
    <row r="7" spans="1:6" x14ac:dyDescent="0.3">
      <c r="A7" s="8">
        <v>5</v>
      </c>
      <c r="B7" s="19">
        <v>70</v>
      </c>
      <c r="C7" s="19">
        <v>54</v>
      </c>
      <c r="D7" s="19">
        <v>50</v>
      </c>
      <c r="E7" s="19">
        <v>50</v>
      </c>
      <c r="F7" s="19">
        <v>45</v>
      </c>
    </row>
    <row r="8" spans="1:6" x14ac:dyDescent="0.3">
      <c r="A8" s="6" t="s">
        <v>4</v>
      </c>
      <c r="B8" s="19">
        <v>70</v>
      </c>
      <c r="C8" s="19">
        <v>74</v>
      </c>
      <c r="D8" s="19">
        <v>80</v>
      </c>
      <c r="E8" s="19">
        <v>85</v>
      </c>
      <c r="F8" s="19">
        <v>60</v>
      </c>
    </row>
    <row r="9" spans="1:6" x14ac:dyDescent="0.3">
      <c r="A9" s="8">
        <v>4</v>
      </c>
      <c r="B9" s="19">
        <v>70</v>
      </c>
      <c r="C9" s="19">
        <v>74</v>
      </c>
      <c r="D9" s="19">
        <v>80</v>
      </c>
      <c r="E9" s="19">
        <v>85</v>
      </c>
      <c r="F9" s="19">
        <v>60</v>
      </c>
    </row>
    <row r="10" spans="1:6" x14ac:dyDescent="0.3">
      <c r="A10" s="6" t="s">
        <v>3</v>
      </c>
      <c r="B10" s="19">
        <v>85</v>
      </c>
      <c r="C10" s="19">
        <v>70</v>
      </c>
      <c r="D10" s="19">
        <v>85</v>
      </c>
      <c r="E10" s="19">
        <v>84</v>
      </c>
      <c r="F10" s="19">
        <v>60</v>
      </c>
    </row>
    <row r="11" spans="1:6" x14ac:dyDescent="0.3">
      <c r="A11" s="8">
        <v>3</v>
      </c>
      <c r="B11" s="19">
        <v>85</v>
      </c>
      <c r="C11" s="19">
        <v>70</v>
      </c>
      <c r="D11" s="19">
        <v>85</v>
      </c>
      <c r="E11" s="19">
        <v>84</v>
      </c>
      <c r="F11" s="19">
        <v>60</v>
      </c>
    </row>
    <row r="12" spans="1:6" x14ac:dyDescent="0.3">
      <c r="A12" s="6" t="s">
        <v>1</v>
      </c>
      <c r="B12" s="19">
        <v>90</v>
      </c>
      <c r="C12" s="19">
        <v>85</v>
      </c>
      <c r="D12" s="19">
        <v>70</v>
      </c>
      <c r="E12" s="19">
        <v>74</v>
      </c>
      <c r="F12" s="19">
        <v>80</v>
      </c>
    </row>
    <row r="13" spans="1:6" x14ac:dyDescent="0.3">
      <c r="A13" s="8">
        <v>1</v>
      </c>
      <c r="B13" s="19">
        <v>90</v>
      </c>
      <c r="C13" s="19">
        <v>85</v>
      </c>
      <c r="D13" s="19">
        <v>70</v>
      </c>
      <c r="E13" s="19">
        <v>74</v>
      </c>
      <c r="F13" s="19">
        <v>80</v>
      </c>
    </row>
    <row r="14" spans="1:6" x14ac:dyDescent="0.3">
      <c r="A14" s="6" t="s">
        <v>46</v>
      </c>
      <c r="B14" s="19">
        <v>405</v>
      </c>
      <c r="C14" s="19">
        <v>373</v>
      </c>
      <c r="D14" s="19">
        <v>370</v>
      </c>
      <c r="E14" s="19">
        <v>378</v>
      </c>
      <c r="F14" s="19">
        <v>332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1787-B1FF-4A53-9D52-F61E058F0953}">
  <dimension ref="A1:O26"/>
  <sheetViews>
    <sheetView tabSelected="1" workbookViewId="0">
      <selection activeCell="G11" sqref="G11"/>
    </sheetView>
  </sheetViews>
  <sheetFormatPr defaultRowHeight="14.4" x14ac:dyDescent="0.3"/>
  <sheetData>
    <row r="1" spans="1:15" x14ac:dyDescent="0.3">
      <c r="A1" t="s">
        <v>0</v>
      </c>
      <c r="B1" t="s">
        <v>26</v>
      </c>
      <c r="C1" t="s">
        <v>6</v>
      </c>
      <c r="D1" t="s">
        <v>7</v>
      </c>
      <c r="E1" t="s">
        <v>8</v>
      </c>
      <c r="F1" t="s">
        <v>9</v>
      </c>
      <c r="G1" t="s">
        <v>10</v>
      </c>
      <c r="H1" t="s">
        <v>11</v>
      </c>
    </row>
    <row r="2" spans="1:15" x14ac:dyDescent="0.3">
      <c r="A2">
        <v>1</v>
      </c>
      <c r="B2" t="s">
        <v>1</v>
      </c>
      <c r="C2">
        <v>70</v>
      </c>
      <c r="D2">
        <v>90</v>
      </c>
      <c r="E2">
        <v>80</v>
      </c>
      <c r="F2">
        <v>85</v>
      </c>
      <c r="G2">
        <v>74</v>
      </c>
      <c r="H2" t="s">
        <v>44</v>
      </c>
    </row>
    <row r="3" spans="1:15" x14ac:dyDescent="0.3">
      <c r="A3">
        <v>2</v>
      </c>
      <c r="B3" t="s">
        <v>2</v>
      </c>
      <c r="C3">
        <v>85</v>
      </c>
      <c r="D3">
        <v>90</v>
      </c>
      <c r="E3">
        <v>87</v>
      </c>
      <c r="F3">
        <v>90</v>
      </c>
      <c r="G3">
        <v>85</v>
      </c>
      <c r="H3">
        <v>19</v>
      </c>
    </row>
    <row r="4" spans="1:15" x14ac:dyDescent="0.3">
      <c r="A4">
        <v>3</v>
      </c>
      <c r="B4" t="s">
        <v>3</v>
      </c>
      <c r="C4">
        <v>85</v>
      </c>
      <c r="D4">
        <v>85</v>
      </c>
      <c r="E4">
        <v>60</v>
      </c>
      <c r="F4">
        <v>70</v>
      </c>
      <c r="G4">
        <v>84</v>
      </c>
    </row>
    <row r="5" spans="1:15" x14ac:dyDescent="0.3">
      <c r="A5">
        <v>4</v>
      </c>
      <c r="B5" t="s">
        <v>4</v>
      </c>
      <c r="C5">
        <v>80</v>
      </c>
      <c r="D5">
        <v>70</v>
      </c>
      <c r="E5">
        <v>60</v>
      </c>
      <c r="F5">
        <v>74</v>
      </c>
      <c r="G5">
        <v>85</v>
      </c>
    </row>
    <row r="6" spans="1:15" x14ac:dyDescent="0.3">
      <c r="A6">
        <v>5</v>
      </c>
      <c r="B6" t="s">
        <v>5</v>
      </c>
      <c r="C6">
        <v>50</v>
      </c>
      <c r="D6">
        <v>70</v>
      </c>
      <c r="E6">
        <v>45</v>
      </c>
      <c r="F6">
        <v>54</v>
      </c>
      <c r="G6">
        <v>50</v>
      </c>
    </row>
    <row r="9" spans="1:15" x14ac:dyDescent="0.3">
      <c r="I9" s="18" t="e" vm="10">
        <v>#VALUE!</v>
      </c>
    </row>
    <row r="16" spans="1:15" ht="18" x14ac:dyDescent="0.35">
      <c r="A16" s="5" t="s">
        <v>27</v>
      </c>
      <c r="B16" s="5" t="s">
        <v>28</v>
      </c>
      <c r="C16" s="5" t="s">
        <v>29</v>
      </c>
      <c r="D16" s="5" t="s">
        <v>30</v>
      </c>
      <c r="E16" s="5" t="s">
        <v>31</v>
      </c>
      <c r="F16" s="5">
        <v>1</v>
      </c>
      <c r="G16" s="5">
        <v>2</v>
      </c>
      <c r="H16" s="5">
        <v>3</v>
      </c>
      <c r="I16" s="5">
        <v>4</v>
      </c>
      <c r="J16" s="5">
        <v>5</v>
      </c>
      <c r="K16" s="5">
        <v>6</v>
      </c>
      <c r="L16" s="5">
        <v>7</v>
      </c>
      <c r="M16" s="5">
        <v>8</v>
      </c>
      <c r="N16" s="5">
        <v>9</v>
      </c>
      <c r="O16" s="5">
        <v>10</v>
      </c>
    </row>
    <row r="17" spans="1:15" x14ac:dyDescent="0.3">
      <c r="A17" s="6">
        <v>1</v>
      </c>
      <c r="B17" s="3">
        <v>101</v>
      </c>
      <c r="C17" t="s">
        <v>32</v>
      </c>
      <c r="D17" s="3">
        <f>COUNTIF(F17:O17,"P")</f>
        <v>4</v>
      </c>
      <c r="E17" s="3">
        <f>COUNTIF(F17:O17,"A")</f>
        <v>6</v>
      </c>
      <c r="F17" s="3" t="s">
        <v>33</v>
      </c>
      <c r="G17" s="3" t="s">
        <v>34</v>
      </c>
      <c r="H17" s="3" t="s">
        <v>34</v>
      </c>
      <c r="I17" s="3" t="s">
        <v>34</v>
      </c>
      <c r="J17" s="3" t="s">
        <v>33</v>
      </c>
      <c r="K17" s="3" t="s">
        <v>34</v>
      </c>
      <c r="L17" s="3" t="s">
        <v>33</v>
      </c>
      <c r="M17" s="3" t="s">
        <v>34</v>
      </c>
      <c r="N17" s="3" t="s">
        <v>33</v>
      </c>
      <c r="O17" s="3" t="s">
        <v>34</v>
      </c>
    </row>
    <row r="18" spans="1:15" x14ac:dyDescent="0.3">
      <c r="A18" s="6">
        <v>2</v>
      </c>
      <c r="B18" s="3">
        <v>102</v>
      </c>
      <c r="C18" t="s">
        <v>35</v>
      </c>
      <c r="D18" s="3">
        <f t="shared" ref="D18:D26" si="0">COUNTIF(F18:O18,"P")</f>
        <v>6</v>
      </c>
      <c r="E18" s="3">
        <f t="shared" ref="E18:E26" si="1">COUNTIF(F18:O18,"A")</f>
        <v>4</v>
      </c>
      <c r="F18" s="3" t="s">
        <v>33</v>
      </c>
      <c r="G18" s="3" t="s">
        <v>34</v>
      </c>
      <c r="H18" s="3" t="s">
        <v>33</v>
      </c>
      <c r="I18" s="3" t="s">
        <v>34</v>
      </c>
      <c r="J18" s="3" t="s">
        <v>33</v>
      </c>
      <c r="K18" s="3" t="s">
        <v>34</v>
      </c>
      <c r="L18" s="3" t="s">
        <v>33</v>
      </c>
      <c r="M18" s="3" t="s">
        <v>34</v>
      </c>
      <c r="N18" s="3" t="s">
        <v>33</v>
      </c>
      <c r="O18" s="3" t="s">
        <v>33</v>
      </c>
    </row>
    <row r="19" spans="1:15" x14ac:dyDescent="0.3">
      <c r="A19" s="6">
        <v>3</v>
      </c>
      <c r="B19" s="3">
        <v>103</v>
      </c>
      <c r="C19" t="s">
        <v>36</v>
      </c>
      <c r="D19" s="3">
        <f t="shared" si="0"/>
        <v>6</v>
      </c>
      <c r="E19" s="3">
        <f t="shared" si="1"/>
        <v>4</v>
      </c>
      <c r="F19" s="3" t="s">
        <v>34</v>
      </c>
      <c r="G19" s="3" t="s">
        <v>33</v>
      </c>
      <c r="H19" s="3" t="s">
        <v>34</v>
      </c>
      <c r="I19" s="3" t="s">
        <v>34</v>
      </c>
      <c r="J19" s="3" t="s">
        <v>33</v>
      </c>
      <c r="K19" s="3" t="s">
        <v>33</v>
      </c>
      <c r="L19" s="3" t="s">
        <v>33</v>
      </c>
      <c r="M19" s="3" t="s">
        <v>34</v>
      </c>
      <c r="N19" s="3" t="s">
        <v>33</v>
      </c>
      <c r="O19" s="3" t="s">
        <v>33</v>
      </c>
    </row>
    <row r="20" spans="1:15" x14ac:dyDescent="0.3">
      <c r="A20" s="6">
        <v>4</v>
      </c>
      <c r="B20" s="3">
        <v>104</v>
      </c>
      <c r="C20" t="s">
        <v>37</v>
      </c>
      <c r="D20" s="3">
        <f t="shared" si="0"/>
        <v>7</v>
      </c>
      <c r="E20" s="3">
        <f t="shared" si="1"/>
        <v>3</v>
      </c>
      <c r="F20" s="3" t="s">
        <v>34</v>
      </c>
      <c r="G20" s="3" t="s">
        <v>33</v>
      </c>
      <c r="H20" s="3" t="s">
        <v>33</v>
      </c>
      <c r="I20" s="3" t="s">
        <v>34</v>
      </c>
      <c r="J20" s="3" t="s">
        <v>33</v>
      </c>
      <c r="K20" s="3" t="s">
        <v>33</v>
      </c>
      <c r="L20" s="3" t="s">
        <v>33</v>
      </c>
      <c r="M20" s="3" t="s">
        <v>34</v>
      </c>
      <c r="N20" s="3" t="s">
        <v>33</v>
      </c>
      <c r="O20" s="3" t="s">
        <v>33</v>
      </c>
    </row>
    <row r="21" spans="1:15" x14ac:dyDescent="0.3">
      <c r="A21" s="6">
        <v>5</v>
      </c>
      <c r="B21" s="3">
        <v>105</v>
      </c>
      <c r="C21" t="s">
        <v>38</v>
      </c>
      <c r="D21" s="3">
        <f t="shared" si="0"/>
        <v>4</v>
      </c>
      <c r="E21" s="3">
        <f t="shared" si="1"/>
        <v>6</v>
      </c>
      <c r="F21" s="3" t="s">
        <v>33</v>
      </c>
      <c r="G21" s="3" t="s">
        <v>34</v>
      </c>
      <c r="H21" s="3" t="s">
        <v>34</v>
      </c>
      <c r="I21" s="3" t="s">
        <v>34</v>
      </c>
      <c r="J21" s="3" t="s">
        <v>33</v>
      </c>
      <c r="K21" s="3" t="s">
        <v>34</v>
      </c>
      <c r="L21" s="3" t="s">
        <v>33</v>
      </c>
      <c r="M21" s="3" t="s">
        <v>34</v>
      </c>
      <c r="N21" s="3" t="s">
        <v>34</v>
      </c>
      <c r="O21" s="3" t="s">
        <v>33</v>
      </c>
    </row>
    <row r="22" spans="1:15" x14ac:dyDescent="0.3">
      <c r="A22" s="6">
        <v>6</v>
      </c>
      <c r="B22" s="3">
        <v>106</v>
      </c>
      <c r="C22" t="s">
        <v>39</v>
      </c>
      <c r="D22" s="3">
        <f t="shared" si="0"/>
        <v>5</v>
      </c>
      <c r="E22" s="3">
        <f t="shared" si="1"/>
        <v>5</v>
      </c>
      <c r="F22" s="3" t="s">
        <v>33</v>
      </c>
      <c r="G22" s="3" t="s">
        <v>34</v>
      </c>
      <c r="H22" s="3" t="s">
        <v>33</v>
      </c>
      <c r="I22" s="3" t="s">
        <v>33</v>
      </c>
      <c r="J22" s="3" t="s">
        <v>34</v>
      </c>
      <c r="K22" s="3" t="s">
        <v>34</v>
      </c>
      <c r="L22" s="3" t="s">
        <v>33</v>
      </c>
      <c r="M22" s="3" t="s">
        <v>34</v>
      </c>
      <c r="N22" s="3" t="s">
        <v>34</v>
      </c>
      <c r="O22" s="3" t="s">
        <v>33</v>
      </c>
    </row>
    <row r="23" spans="1:15" x14ac:dyDescent="0.3">
      <c r="A23" s="6">
        <v>7</v>
      </c>
      <c r="B23" s="3">
        <v>107</v>
      </c>
      <c r="C23" t="s">
        <v>40</v>
      </c>
      <c r="D23" s="3">
        <f t="shared" si="0"/>
        <v>3</v>
      </c>
      <c r="E23" s="3">
        <f t="shared" si="1"/>
        <v>7</v>
      </c>
      <c r="F23" s="3" t="s">
        <v>33</v>
      </c>
      <c r="G23" s="3" t="s">
        <v>34</v>
      </c>
      <c r="H23" s="3" t="s">
        <v>34</v>
      </c>
      <c r="I23" s="3" t="s">
        <v>33</v>
      </c>
      <c r="J23" s="3" t="s">
        <v>34</v>
      </c>
      <c r="K23" s="3" t="s">
        <v>34</v>
      </c>
      <c r="L23" s="3" t="s">
        <v>33</v>
      </c>
      <c r="M23" s="3" t="s">
        <v>34</v>
      </c>
      <c r="N23" s="3" t="s">
        <v>34</v>
      </c>
      <c r="O23" s="3" t="s">
        <v>34</v>
      </c>
    </row>
    <row r="24" spans="1:15" x14ac:dyDescent="0.3">
      <c r="A24" s="6">
        <v>8</v>
      </c>
      <c r="B24" s="3">
        <v>108</v>
      </c>
      <c r="C24" t="s">
        <v>41</v>
      </c>
      <c r="D24" s="3">
        <f t="shared" si="0"/>
        <v>6</v>
      </c>
      <c r="E24" s="3">
        <f t="shared" si="1"/>
        <v>4</v>
      </c>
      <c r="F24" s="3" t="s">
        <v>33</v>
      </c>
      <c r="G24" s="3" t="s">
        <v>33</v>
      </c>
      <c r="H24" s="3" t="s">
        <v>33</v>
      </c>
      <c r="I24" s="3" t="s">
        <v>33</v>
      </c>
      <c r="J24" s="3" t="s">
        <v>34</v>
      </c>
      <c r="K24" s="3" t="s">
        <v>33</v>
      </c>
      <c r="L24" s="3" t="s">
        <v>33</v>
      </c>
      <c r="M24" s="3" t="s">
        <v>34</v>
      </c>
      <c r="N24" s="3" t="s">
        <v>34</v>
      </c>
      <c r="O24" s="3" t="s">
        <v>34</v>
      </c>
    </row>
    <row r="25" spans="1:15" x14ac:dyDescent="0.3">
      <c r="A25" s="6">
        <v>9</v>
      </c>
      <c r="B25" s="3">
        <v>109</v>
      </c>
      <c r="C25" t="s">
        <v>42</v>
      </c>
      <c r="D25" s="3">
        <f t="shared" si="0"/>
        <v>5</v>
      </c>
      <c r="E25" s="3">
        <f t="shared" si="1"/>
        <v>5</v>
      </c>
      <c r="F25" s="3" t="s">
        <v>34</v>
      </c>
      <c r="G25" s="3" t="s">
        <v>33</v>
      </c>
      <c r="H25" s="3" t="s">
        <v>34</v>
      </c>
      <c r="I25" s="3" t="s">
        <v>33</v>
      </c>
      <c r="J25" s="3" t="s">
        <v>34</v>
      </c>
      <c r="K25" s="3" t="s">
        <v>33</v>
      </c>
      <c r="L25" s="3" t="s">
        <v>33</v>
      </c>
      <c r="M25" s="3" t="s">
        <v>34</v>
      </c>
      <c r="N25" s="3" t="s">
        <v>33</v>
      </c>
      <c r="O25" s="3" t="s">
        <v>34</v>
      </c>
    </row>
    <row r="26" spans="1:15" x14ac:dyDescent="0.3">
      <c r="A26" s="6">
        <v>10</v>
      </c>
      <c r="B26" s="3">
        <v>110</v>
      </c>
      <c r="C26" t="s">
        <v>43</v>
      </c>
      <c r="D26" s="3">
        <f t="shared" si="0"/>
        <v>6</v>
      </c>
      <c r="E26" s="3">
        <f t="shared" si="1"/>
        <v>4</v>
      </c>
      <c r="F26" s="3" t="s">
        <v>34</v>
      </c>
      <c r="G26" s="3" t="s">
        <v>33</v>
      </c>
      <c r="H26" s="3" t="s">
        <v>33</v>
      </c>
      <c r="I26" s="3" t="s">
        <v>33</v>
      </c>
      <c r="J26" s="3" t="s">
        <v>34</v>
      </c>
      <c r="K26" s="3" t="s">
        <v>33</v>
      </c>
      <c r="L26" s="3" t="s">
        <v>33</v>
      </c>
      <c r="M26" s="3" t="s">
        <v>34</v>
      </c>
      <c r="N26" s="3" t="s">
        <v>33</v>
      </c>
      <c r="O26" s="3" t="s">
        <v>34</v>
      </c>
    </row>
  </sheetData>
  <sortState xmlns:xlrd2="http://schemas.microsoft.com/office/spreadsheetml/2017/richdata2" ref="A2:G6">
    <sortCondition ref="A1:A6"/>
  </sortState>
  <dataConsolidate/>
  <conditionalFormatting sqref="F17:O26">
    <cfRule type="containsText" dxfId="1" priority="1" operator="containsText" text="A">
      <formula>NOT(ISERROR(SEARCH("A",F17)))</formula>
    </cfRule>
    <cfRule type="containsText" dxfId="0" priority="2" operator="containsText" text="p">
      <formula>NOT(ISERROR(SEARCH("p",F17)))</formula>
    </cfRule>
  </conditionalFormatting>
  <dataValidations count="3">
    <dataValidation type="list" allowBlank="1" showInputMessage="1" showErrorMessage="1" prompt="ENTER P,A" sqref="F17:O26" xr:uid="{D2336561-84AD-4495-A588-5B9955F7A56B}">
      <formula1>"P,A"</formula1>
    </dataValidation>
    <dataValidation type="decimal" operator="greaterThanOrEqual" allowBlank="1" showInputMessage="1" showErrorMessage="1" prompt="ENTER AGE 18" sqref="H3:H6" xr:uid="{2A34FF83-D1E3-4049-8B28-BB12847BA225}">
      <formula1>18</formula1>
    </dataValidation>
    <dataValidation type="list" allowBlank="1" showInputMessage="1" showErrorMessage="1" sqref="H2" xr:uid="{A3945DE5-65BF-4D07-8A9B-B53211CA78FB}">
      <formula1>"MBA,BCA,BBA,"</formula1>
    </dataValidation>
  </dataValidations>
  <pageMargins left="0.7" right="0.7" top="0.75" bottom="0.75" header="0.3" footer="0.3"/>
  <ignoredErrors>
    <ignoredError sqref="I9" evalErro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74C4-41F8-41E5-9270-D7268B1ABF3C}">
  <dimension ref="A3:C5"/>
  <sheetViews>
    <sheetView workbookViewId="0">
      <selection activeCell="O12" sqref="O12"/>
    </sheetView>
  </sheetViews>
  <sheetFormatPr defaultRowHeight="14.4" x14ac:dyDescent="0.3"/>
  <cols>
    <col min="1" max="1" width="12" bestFit="1" customWidth="1"/>
    <col min="2" max="2" width="15.5546875" bestFit="1" customWidth="1"/>
    <col min="3" max="3" width="10.5546875" bestFit="1" customWidth="1"/>
    <col min="4" max="4" width="7" bestFit="1" customWidth="1"/>
    <col min="5" max="5" width="6" bestFit="1" customWidth="1"/>
    <col min="6" max="6" width="10.5546875" bestFit="1" customWidth="1"/>
  </cols>
  <sheetData>
    <row r="3" spans="1:3" x14ac:dyDescent="0.3">
      <c r="B3" s="7" t="s">
        <v>54</v>
      </c>
    </row>
    <row r="4" spans="1:3" x14ac:dyDescent="0.3">
      <c r="B4" t="s">
        <v>65</v>
      </c>
      <c r="C4" t="s">
        <v>46</v>
      </c>
    </row>
    <row r="5" spans="1:3" x14ac:dyDescent="0.3">
      <c r="A5" t="s">
        <v>82</v>
      </c>
      <c r="B5">
        <v>3000</v>
      </c>
      <c r="C5">
        <v>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FE4C-B3BD-42A4-83B1-84E7E271007E}">
  <dimension ref="A1:H11"/>
  <sheetViews>
    <sheetView workbookViewId="0">
      <selection sqref="A1:H11"/>
    </sheetView>
  </sheetViews>
  <sheetFormatPr defaultRowHeight="14.4" x14ac:dyDescent="0.3"/>
  <sheetData>
    <row r="1" spans="1:8" ht="18" x14ac:dyDescent="0.35">
      <c r="A1" s="9" t="s">
        <v>55</v>
      </c>
      <c r="B1" s="9" t="s">
        <v>56</v>
      </c>
      <c r="C1" s="9" t="s">
        <v>57</v>
      </c>
      <c r="D1" s="9" t="s">
        <v>58</v>
      </c>
      <c r="E1" s="9" t="s">
        <v>59</v>
      </c>
      <c r="F1" s="9" t="s">
        <v>60</v>
      </c>
      <c r="G1" s="9" t="s">
        <v>61</v>
      </c>
      <c r="H1" s="9" t="s">
        <v>62</v>
      </c>
    </row>
    <row r="2" spans="1:8" x14ac:dyDescent="0.3">
      <c r="A2" s="10">
        <v>101</v>
      </c>
      <c r="B2" s="11" t="s">
        <v>36</v>
      </c>
      <c r="C2" s="11" t="s">
        <v>63</v>
      </c>
      <c r="D2" s="11" t="s">
        <v>64</v>
      </c>
      <c r="E2" s="12" t="s">
        <v>65</v>
      </c>
      <c r="F2" s="10">
        <v>24000</v>
      </c>
      <c r="G2" s="11">
        <v>1</v>
      </c>
      <c r="H2" s="11">
        <v>24000</v>
      </c>
    </row>
    <row r="3" spans="1:8" x14ac:dyDescent="0.3">
      <c r="A3" s="10">
        <v>102</v>
      </c>
      <c r="B3" s="11" t="s">
        <v>66</v>
      </c>
      <c r="C3" s="11" t="s">
        <v>63</v>
      </c>
      <c r="D3" s="11" t="s">
        <v>67</v>
      </c>
      <c r="E3" s="12" t="s">
        <v>68</v>
      </c>
      <c r="F3" s="10">
        <v>32000</v>
      </c>
      <c r="G3" s="11">
        <v>2</v>
      </c>
      <c r="H3" s="11">
        <v>64000</v>
      </c>
    </row>
    <row r="4" spans="1:8" x14ac:dyDescent="0.3">
      <c r="A4" s="10">
        <v>103</v>
      </c>
      <c r="B4" s="11" t="s">
        <v>69</v>
      </c>
      <c r="C4" s="11" t="s">
        <v>63</v>
      </c>
      <c r="D4" s="11" t="s">
        <v>70</v>
      </c>
      <c r="E4" s="12" t="s">
        <v>71</v>
      </c>
      <c r="F4" s="10">
        <v>65000</v>
      </c>
      <c r="G4" s="11">
        <v>3</v>
      </c>
      <c r="H4" s="11">
        <v>195000</v>
      </c>
    </row>
    <row r="5" spans="1:8" x14ac:dyDescent="0.3">
      <c r="A5" s="10">
        <v>104</v>
      </c>
      <c r="B5" s="11" t="s">
        <v>32</v>
      </c>
      <c r="C5" s="11" t="s">
        <v>63</v>
      </c>
      <c r="D5" s="11" t="s">
        <v>72</v>
      </c>
      <c r="E5" s="12" t="s">
        <v>68</v>
      </c>
      <c r="F5" s="10">
        <v>45000</v>
      </c>
      <c r="G5" s="11">
        <v>4</v>
      </c>
      <c r="H5" s="11">
        <v>180000</v>
      </c>
    </row>
    <row r="6" spans="1:8" x14ac:dyDescent="0.3">
      <c r="A6" s="10">
        <v>105</v>
      </c>
      <c r="B6" s="11" t="s">
        <v>38</v>
      </c>
      <c r="C6" s="11" t="s">
        <v>73</v>
      </c>
      <c r="D6" s="11" t="s">
        <v>74</v>
      </c>
      <c r="E6" s="12" t="s">
        <v>65</v>
      </c>
      <c r="F6" s="10">
        <v>4500</v>
      </c>
      <c r="G6" s="11">
        <v>5</v>
      </c>
      <c r="H6" s="11">
        <v>22500</v>
      </c>
    </row>
    <row r="7" spans="1:8" x14ac:dyDescent="0.3">
      <c r="A7" s="10">
        <v>106</v>
      </c>
      <c r="B7" s="11" t="s">
        <v>75</v>
      </c>
      <c r="C7" s="11" t="s">
        <v>73</v>
      </c>
      <c r="D7" s="11" t="s">
        <v>76</v>
      </c>
      <c r="E7" s="12" t="s">
        <v>68</v>
      </c>
      <c r="F7" s="10">
        <v>45000</v>
      </c>
      <c r="G7" s="11">
        <v>6</v>
      </c>
      <c r="H7" s="11">
        <v>270000</v>
      </c>
    </row>
    <row r="8" spans="1:8" x14ac:dyDescent="0.3">
      <c r="A8" s="10">
        <v>107</v>
      </c>
      <c r="B8" s="11" t="s">
        <v>77</v>
      </c>
      <c r="C8" s="11" t="s">
        <v>73</v>
      </c>
      <c r="D8" s="11" t="s">
        <v>78</v>
      </c>
      <c r="E8" s="12" t="s">
        <v>79</v>
      </c>
      <c r="F8" s="10">
        <v>6000</v>
      </c>
      <c r="G8" s="11">
        <v>7</v>
      </c>
      <c r="H8" s="11">
        <v>42000</v>
      </c>
    </row>
    <row r="9" spans="1:8" x14ac:dyDescent="0.3">
      <c r="A9" s="10">
        <v>108</v>
      </c>
      <c r="B9" s="11" t="s">
        <v>41</v>
      </c>
      <c r="C9" s="11" t="s">
        <v>80</v>
      </c>
      <c r="D9" s="11" t="s">
        <v>64</v>
      </c>
      <c r="E9" s="12" t="s">
        <v>65</v>
      </c>
      <c r="F9" s="10">
        <v>3000</v>
      </c>
      <c r="G9" s="11">
        <v>8</v>
      </c>
      <c r="H9" s="11">
        <v>24000</v>
      </c>
    </row>
    <row r="10" spans="1:8" x14ac:dyDescent="0.3">
      <c r="A10" s="10">
        <v>109</v>
      </c>
      <c r="B10" s="11" t="s">
        <v>81</v>
      </c>
      <c r="C10" s="11" t="s">
        <v>80</v>
      </c>
      <c r="D10" s="11" t="s">
        <v>72</v>
      </c>
      <c r="E10" s="12" t="s">
        <v>71</v>
      </c>
      <c r="F10" s="10">
        <v>2000</v>
      </c>
      <c r="G10" s="11">
        <v>9</v>
      </c>
      <c r="H10" s="11">
        <v>18000</v>
      </c>
    </row>
    <row r="11" spans="1:8" x14ac:dyDescent="0.3">
      <c r="A11" s="10">
        <v>110</v>
      </c>
      <c r="B11" s="11" t="s">
        <v>43</v>
      </c>
      <c r="C11" s="11" t="s">
        <v>80</v>
      </c>
      <c r="D11" s="11" t="s">
        <v>67</v>
      </c>
      <c r="E11" s="12" t="s">
        <v>65</v>
      </c>
      <c r="F11" s="10">
        <v>300</v>
      </c>
      <c r="G11" s="11">
        <v>10</v>
      </c>
      <c r="H11" s="11">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Sheet2</vt:lpstr>
      <vt:lpstr>Sheet7</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sabapara vraj</dc:creator>
  <cp:lastModifiedBy>sabapara vraj</cp:lastModifiedBy>
  <dcterms:created xsi:type="dcterms:W3CDTF">2026-04-12T05:21:33Z</dcterms:created>
  <dcterms:modified xsi:type="dcterms:W3CDTF">2026-04-12T08:02:18Z</dcterms:modified>
</cp:coreProperties>
</file>